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0240" windowHeight="17820" tabRatio="600" firstSheet="0" activeTab="12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6" sheetId="3" state="visible" r:id="rId3"/>
    <sheet xmlns:r="http://schemas.openxmlformats.org/officeDocument/2006/relationships" name="10" sheetId="4" state="visible" r:id="rId4"/>
    <sheet xmlns:r="http://schemas.openxmlformats.org/officeDocument/2006/relationships" name="11" sheetId="5" state="visible" r:id="rId5"/>
    <sheet xmlns:r="http://schemas.openxmlformats.org/officeDocument/2006/relationships" name="12" sheetId="6" state="visible" r:id="rId6"/>
    <sheet xmlns:r="http://schemas.openxmlformats.org/officeDocument/2006/relationships" name="16" sheetId="7" state="visible" r:id="rId7"/>
    <sheet xmlns:r="http://schemas.openxmlformats.org/officeDocument/2006/relationships" name="17" sheetId="8" state="visible" r:id="rId8"/>
    <sheet xmlns:r="http://schemas.openxmlformats.org/officeDocument/2006/relationships" name="18" sheetId="9" state="visible" r:id="rId9"/>
    <sheet xmlns:r="http://schemas.openxmlformats.org/officeDocument/2006/relationships" name="22" sheetId="10" state="visible" r:id="rId10"/>
    <sheet xmlns:r="http://schemas.openxmlformats.org/officeDocument/2006/relationships" name="23" sheetId="11" state="visible" r:id="rId11"/>
    <sheet xmlns:r="http://schemas.openxmlformats.org/officeDocument/2006/relationships" name="24" sheetId="12" state="visible" r:id="rId12"/>
    <sheet xmlns:r="http://schemas.openxmlformats.org/officeDocument/2006/relationships" name="28" sheetId="13" state="visible" r:id="rId13"/>
    <sheet xmlns:r="http://schemas.openxmlformats.org/officeDocument/2006/relationships" name="29" sheetId="14" state="visible" r:id="rId14"/>
    <sheet xmlns:r="http://schemas.openxmlformats.org/officeDocument/2006/relationships" name="30" sheetId="15" state="visible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CR">'[2]4.2.b - WPP'!$E$9</definedName>
    <definedName name="ed">[3]HD!#REF!</definedName>
    <definedName name="f_01">'[2]4.2.b - WPP'!$E$11</definedName>
    <definedName name="G22_">[4]HD!#REF!</definedName>
    <definedName name="h">'[2]4.2.b - WPP'!$E$7</definedName>
    <definedName name="inv_cost">'[6]4.4.b - Sol'!#REF!</definedName>
    <definedName name="LT">'[2]4.2.b - WPP'!$E$4</definedName>
    <definedName name="means">#REF!</definedName>
    <definedName name="order_cost">'[6]4.4.b - Sol'!#REF!</definedName>
    <definedName name="p">'[2]4.2.b - WPP'!$E$8</definedName>
    <definedName name="s">#REF!</definedName>
    <definedName name="samples">#REF!</definedName>
    <definedName name="stockout_cost">'[6]4.4.b - Sol'!#REF!</definedName>
    <definedName name="total_cost">'[6]4.4.b - Sol'!#REF!</definedName>
    <definedName name="z_stern">'[2]4.2.b - WPP'!$E$10</definedName>
    <definedName name="CR" localSheetId="3">'[1]4.2.b - WPP'!$E$9</definedName>
    <definedName name="f_01" localSheetId="3">'[1]4.2.b - WPP'!$E$11</definedName>
    <definedName name="G22_" localSheetId="3">[4]HD!#REF!</definedName>
    <definedName name="h" localSheetId="3">'[1]4.2.b - WPP'!$E$7</definedName>
    <definedName name="LT" localSheetId="3">'[1]4.2.b - WPP'!$E$4</definedName>
    <definedName name="means" localSheetId="3">#REF!</definedName>
    <definedName name="p" localSheetId="3">'[1]4.2.b - WPP'!$E$8</definedName>
    <definedName name="samples" localSheetId="3">#REF!</definedName>
    <definedName name="z_stern" localSheetId="3">'[1]4.2.b - WPP'!$E$10</definedName>
    <definedName name="CR" localSheetId="4">'[1]4.2.b - WPP'!$E$9</definedName>
    <definedName name="f_01" localSheetId="4">'[1]4.2.b - WPP'!$E$11</definedName>
    <definedName name="G22_" localSheetId="4">[4]HD!#REF!</definedName>
    <definedName name="h" localSheetId="4">'[1]4.2.b - WPP'!$E$7</definedName>
    <definedName name="LT" localSheetId="4">'[1]4.2.b - WPP'!$E$4</definedName>
    <definedName name="means" localSheetId="4">#REF!</definedName>
    <definedName name="p" localSheetId="4">'[1]4.2.b - WPP'!$E$8</definedName>
    <definedName name="samples" localSheetId="4">#REF!</definedName>
    <definedName name="z_stern" localSheetId="4">'[1]4.2.b - WPP'!$E$10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'16'!$F$47</definedName>
    <definedName name="solver_typ" localSheetId="6" hidden="1">1</definedName>
    <definedName name="solver_val" localSheetId="6" hidden="1">0</definedName>
    <definedName name="solver_ver" localSheetId="6" hidden="1">3</definedName>
    <definedName name="solver_adj" localSheetId="8" hidden="1">'18'!$D$15:$G$18</definedName>
    <definedName name="solver_cvg" localSheetId="8" hidden="1">0.0001</definedName>
    <definedName name="solver_drv" localSheetId="8" hidden="1">1</definedName>
    <definedName name="solver_eng" localSheetId="8" hidden="1">2</definedName>
    <definedName name="solver_est" localSheetId="8" hidden="1">1</definedName>
    <definedName name="solver_itr" localSheetId="8" hidden="1">2147483647</definedName>
    <definedName name="solver_lhs1" localSheetId="8" hidden="1">'18'!$D$16</definedName>
    <definedName name="solver_lhs10" localSheetId="8" hidden="1">'18'!$M$15:$M$22</definedName>
    <definedName name="solver_lhs2" localSheetId="8" hidden="1">'18'!$D$17</definedName>
    <definedName name="solver_lhs3" localSheetId="8" hidden="1">'18'!$E$16</definedName>
    <definedName name="solver_lhs4" localSheetId="8" hidden="1">'18'!$E$17</definedName>
    <definedName name="solver_lhs5" localSheetId="8" hidden="1">'18'!$E$18</definedName>
    <definedName name="solver_lhs6" localSheetId="8" hidden="1">'18'!$F$15</definedName>
    <definedName name="solver_lhs7" localSheetId="8" hidden="1">'18'!$F$18</definedName>
    <definedName name="solver_lhs8" localSheetId="8" hidden="1">'18'!$G$16</definedName>
    <definedName name="solver_lhs9" localSheetId="8" hidden="1">'18'!$G$18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10</definedName>
    <definedName name="solver_nwt" localSheetId="8" hidden="1">1</definedName>
    <definedName name="solver_opt" localSheetId="8" hidden="1">'18'!$D$27</definedName>
    <definedName name="solver_pre" localSheetId="8" hidden="1">0.000001</definedName>
    <definedName name="solver_rbv" localSheetId="8" hidden="1">1</definedName>
    <definedName name="solver_rel1" localSheetId="8" hidden="1">2</definedName>
    <definedName name="solver_rel10" localSheetId="8" hidden="1">2</definedName>
    <definedName name="solver_rel2" localSheetId="8" hidden="1">2</definedName>
    <definedName name="solver_rel3" localSheetId="8" hidden="1">2</definedName>
    <definedName name="solver_rel4" localSheetId="8" hidden="1">2</definedName>
    <definedName name="solver_rel5" localSheetId="8" hidden="1">2</definedName>
    <definedName name="solver_rel6" localSheetId="8" hidden="1">2</definedName>
    <definedName name="solver_rel7" localSheetId="8" hidden="1">2</definedName>
    <definedName name="solver_rel8" localSheetId="8" hidden="1">2</definedName>
    <definedName name="solver_rel9" localSheetId="8" hidden="1">2</definedName>
    <definedName name="solver_rhs1" localSheetId="8" hidden="1">0</definedName>
    <definedName name="solver_rhs10" localSheetId="8" hidden="1">'18'!$O$15:$O$22</definedName>
    <definedName name="solver_rhs2" localSheetId="8" hidden="1">100</definedName>
    <definedName name="solver_rhs3" localSheetId="8" hidden="1">0</definedName>
    <definedName name="solver_rhs4" localSheetId="8" hidden="1">0</definedName>
    <definedName name="solver_rhs5" localSheetId="8" hidden="1">0</definedName>
    <definedName name="solver_rhs6" localSheetId="8" hidden="1">0</definedName>
    <definedName name="solver_rhs7" localSheetId="8" hidden="1">0</definedName>
    <definedName name="solver_rhs8" localSheetId="8" hidden="1">0</definedName>
    <definedName name="solver_rhs9" localSheetId="8" hidden="1">0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G22_" localSheetId="11">[5]HD!#REF!</definedName>
    <definedName name="means" localSheetId="11">#REF!</definedName>
    <definedName name="samples" localSheetId="11">#REF!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"/>
    <numFmt numFmtId="165" formatCode="#,##0.0"/>
    <numFmt numFmtId="166" formatCode="&quot;$&quot;#,##0.00"/>
    <numFmt numFmtId="167" formatCode="&quot;$&quot;#,##0"/>
    <numFmt numFmtId="168" formatCode="_ * #,##0.00_ ;_ * \-#,##0.00_ ;_ * &quot;-&quot;??_ ;_ @_ "/>
    <numFmt numFmtId="169" formatCode="_ * #,##0.0_ ;_ * \-#,##0.0_ ;_ * &quot;-&quot;??_ ;_ @_ "/>
    <numFmt numFmtId="170" formatCode="_-* #,##0\ _C_H_F_-;\-* #,##0\ _C_H_F_-;_-* &quot;-&quot;??\ _C_H_F_-;_-@_-"/>
    <numFmt numFmtId="171" formatCode="_ * #,##0_ ;_ * \-#,##0_ ;_ * &quot;-&quot;??_ ;_ @_ "/>
    <numFmt numFmtId="172" formatCode="0.0000"/>
    <numFmt numFmtId="173" formatCode="&quot;$&quot;#,##0_);[Red]\(&quot;$&quot;#,##0\)"/>
    <numFmt numFmtId="174" formatCode="_ &quot;CHF&quot;\ * #,##0.00_ ;_ &quot;CHF&quot;\ * \-#,##0.00_ ;_ &quot;CHF&quot;\ * &quot;-&quot;??_ ;_ @_ "/>
    <numFmt numFmtId="175" formatCode="0.000000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7" tint="-0.249977111117893"/>
      <sz val="11"/>
      <scheme val="minor"/>
    </font>
    <font>
      <name val="Calibri"/>
      <family val="2"/>
      <color theme="5" tint="-0.249977111117893"/>
      <sz val="11"/>
      <scheme val="minor"/>
    </font>
    <font>
      <name val="Calibri"/>
      <family val="2"/>
      <color rgb="FF993366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b val="1"/>
      <color theme="7" tint="-0.249977111117893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rgb="FF0070C0"/>
      <sz val="11"/>
      <scheme val="minor"/>
    </font>
    <font>
      <name val="Calibri"/>
      <family val="2"/>
      <sz val="13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006100"/>
      <sz val="12"/>
      <scheme val="minor"/>
    </font>
    <font>
      <name val="Calibri"/>
      <family val="2"/>
      <b val="1"/>
      <color rgb="FF000000"/>
      <sz val="11"/>
      <scheme val="minor"/>
    </font>
    <font>
      <name val="Symbol"/>
      <charset val="2"/>
      <family val="1"/>
      <b val="1"/>
      <sz val="11"/>
    </font>
    <font>
      <name val="Calibri"/>
      <family val="2"/>
      <b val="1"/>
      <sz val="11"/>
      <vertAlign val="subscript"/>
      <scheme val="minor"/>
    </font>
    <font>
      <name val="Calibri"/>
      <family val="2"/>
      <b val="1"/>
      <i val="1"/>
      <sz val="11"/>
      <scheme val="minor"/>
    </font>
    <font>
      <name val="Arial"/>
      <family val="2"/>
      <sz val="10"/>
    </font>
    <font>
      <name val="Arial"/>
      <family val="2"/>
      <sz val="11"/>
    </font>
    <font>
      <name val="Arial"/>
      <family val="2"/>
      <color theme="0"/>
      <sz val="11"/>
    </font>
    <font>
      <name val="Arial"/>
      <family val="2"/>
      <b val="1"/>
      <sz val="11"/>
    </font>
    <font>
      <name val="Calibri"/>
      <family val="2"/>
      <color theme="4" tint="-0.499984740745262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B9B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9"/>
      </patternFill>
    </fill>
  </fills>
  <borders count="6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1" fillId="0" borderId="0"/>
    <xf numFmtId="9" fontId="1" fillId="0" borderId="0"/>
    <xf numFmtId="0" fontId="15" fillId="0" borderId="0"/>
    <xf numFmtId="9" fontId="15" fillId="0" borderId="0"/>
    <xf numFmtId="168" fontId="15" fillId="0" borderId="0"/>
    <xf numFmtId="168" fontId="1" fillId="0" borderId="0"/>
    <xf numFmtId="174" fontId="1" fillId="0" borderId="0"/>
    <xf numFmtId="168" fontId="1" fillId="0" borderId="0"/>
    <xf numFmtId="0" fontId="22" fillId="8" borderId="0"/>
    <xf numFmtId="0" fontId="23" fillId="7" borderId="0"/>
    <xf numFmtId="0" fontId="28" fillId="0" borderId="0"/>
  </cellStyleXfs>
  <cellXfs count="529">
    <xf numFmtId="0" fontId="0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0" pivotButton="0" quotePrefix="0" xfId="0"/>
    <xf numFmtId="1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2" fontId="6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1" fontId="4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2" fontId="4" fillId="5" borderId="0" applyAlignment="1" pivotButton="0" quotePrefix="0" xfId="0">
      <alignment horizontal="center"/>
    </xf>
    <xf numFmtId="0" fontId="9" fillId="2" borderId="0" pivotButton="0" quotePrefix="0" xfId="0"/>
    <xf numFmtId="0" fontId="3" fillId="2" borderId="0" pivotButton="0" quotePrefix="0" xfId="0"/>
    <xf numFmtId="3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2" borderId="0" applyAlignment="1" pivotButton="0" quotePrefix="0" xfId="0">
      <alignment horizontal="center"/>
    </xf>
    <xf numFmtId="9" fontId="0" fillId="2" borderId="0" applyAlignment="1" pivotButton="0" quotePrefix="0" xfId="0">
      <alignment horizontal="center"/>
    </xf>
    <xf numFmtId="9" fontId="4" fillId="2" borderId="0" applyAlignment="1" pivotButton="0" quotePrefix="0" xfId="0">
      <alignment horizontal="center"/>
    </xf>
    <xf numFmtId="0" fontId="8" fillId="2" borderId="0" pivotButton="0" quotePrefix="0" xfId="0"/>
    <xf numFmtId="0" fontId="9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2" fontId="6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2" borderId="30" applyAlignment="1" pivotButton="0" quotePrefix="0" xfId="0">
      <alignment horizontal="center"/>
    </xf>
    <xf numFmtId="0" fontId="0" fillId="5" borderId="3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4" fillId="5" borderId="0" applyAlignment="1" pivotButton="0" quotePrefix="0" xfId="0">
      <alignment horizontal="center"/>
    </xf>
    <xf numFmtId="0" fontId="8" fillId="2" borderId="30" applyAlignment="1" pivotButton="0" quotePrefix="0" xfId="0">
      <alignment horizontal="center" wrapText="1"/>
    </xf>
    <xf numFmtId="0" fontId="4" fillId="2" borderId="0" applyAlignment="1" pivotButton="0" quotePrefix="0" xfId="1">
      <alignment horizontal="right"/>
    </xf>
    <xf numFmtId="0" fontId="3" fillId="2" borderId="2" applyAlignment="1" pivotButton="0" quotePrefix="0" xfId="1">
      <alignment horizontal="left"/>
    </xf>
    <xf numFmtId="1" fontId="4" fillId="2" borderId="3" applyAlignment="1" pivotButton="0" quotePrefix="0" xfId="0">
      <alignment horizontal="center"/>
    </xf>
    <xf numFmtId="1" fontId="4" fillId="2" borderId="9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2" fontId="4" fillId="2" borderId="0" applyAlignment="1" pivotButton="0" quotePrefix="0" xfId="0">
      <alignment horizontal="center"/>
    </xf>
    <xf numFmtId="0" fontId="9" fillId="0" borderId="0" pivotButton="0" quotePrefix="0" xfId="2"/>
    <xf numFmtId="0" fontId="4" fillId="0" borderId="0" applyAlignment="1" pivotButton="0" quotePrefix="0" xfId="2">
      <alignment horizontal="center"/>
    </xf>
    <xf numFmtId="0" fontId="4" fillId="0" borderId="0" pivotButton="0" quotePrefix="0" xfId="2"/>
    <xf numFmtId="0" fontId="4" fillId="2" borderId="44" applyAlignment="1" pivotButton="0" quotePrefix="0" xfId="2">
      <alignment horizontal="center"/>
    </xf>
    <xf numFmtId="0" fontId="4" fillId="2" borderId="32" applyAlignment="1" pivotButton="0" quotePrefix="0" xfId="2">
      <alignment horizontal="center"/>
    </xf>
    <xf numFmtId="0" fontId="4" fillId="2" borderId="43" applyAlignment="1" pivotButton="0" quotePrefix="0" xfId="2">
      <alignment horizontal="center"/>
    </xf>
    <xf numFmtId="0" fontId="4" fillId="2" borderId="42" applyAlignment="1" pivotButton="0" quotePrefix="0" xfId="2">
      <alignment horizontal="center"/>
    </xf>
    <xf numFmtId="0" fontId="4" fillId="2" borderId="34" applyAlignment="1" pivotButton="0" quotePrefix="0" xfId="2">
      <alignment horizontal="center"/>
    </xf>
    <xf numFmtId="0" fontId="4" fillId="2" borderId="38" applyAlignment="1" pivotButton="0" quotePrefix="0" xfId="2">
      <alignment horizontal="center"/>
    </xf>
    <xf numFmtId="0" fontId="4" fillId="5" borderId="34" applyAlignment="1" pivotButton="0" quotePrefix="0" xfId="2">
      <alignment horizontal="center"/>
    </xf>
    <xf numFmtId="0" fontId="4" fillId="5" borderId="16" applyAlignment="1" pivotButton="0" quotePrefix="0" xfId="2">
      <alignment horizontal="center"/>
    </xf>
    <xf numFmtId="0" fontId="4" fillId="2" borderId="46" applyAlignment="1" pivotButton="0" quotePrefix="0" xfId="2">
      <alignment horizontal="center"/>
    </xf>
    <xf numFmtId="0" fontId="4" fillId="2" borderId="41" applyAlignment="1" pivotButton="0" quotePrefix="0" xfId="2">
      <alignment horizontal="center"/>
    </xf>
    <xf numFmtId="0" fontId="3" fillId="2" borderId="15" pivotButton="0" quotePrefix="0" xfId="2"/>
    <xf numFmtId="0" fontId="4" fillId="2" borderId="0" applyAlignment="1" pivotButton="0" quotePrefix="0" xfId="2">
      <alignment horizontal="center"/>
    </xf>
    <xf numFmtId="0" fontId="4" fillId="2" borderId="5" applyAlignment="1" pivotButton="0" quotePrefix="0" xfId="2">
      <alignment horizontal="center"/>
    </xf>
    <xf numFmtId="0" fontId="4" fillId="5" borderId="38" applyAlignment="1" pivotButton="0" quotePrefix="0" xfId="2">
      <alignment horizontal="center"/>
    </xf>
    <xf numFmtId="0" fontId="4" fillId="2" borderId="14" applyAlignment="1" pivotButton="0" quotePrefix="0" xfId="2">
      <alignment horizontal="center"/>
    </xf>
    <xf numFmtId="0" fontId="4" fillId="2" borderId="24" applyAlignment="1" pivotButton="0" quotePrefix="0" xfId="2">
      <alignment horizontal="center"/>
    </xf>
    <xf numFmtId="0" fontId="4" fillId="3" borderId="39" applyAlignment="1" pivotButton="0" quotePrefix="0" xfId="2">
      <alignment horizont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164" fontId="4" fillId="2" borderId="4" pivotButton="0" quotePrefix="0" xfId="0"/>
    <xf numFmtId="0" fontId="0" fillId="5" borderId="0" applyAlignment="1" pivotButton="0" quotePrefix="0" xfId="0">
      <alignment horizontal="center"/>
    </xf>
    <xf numFmtId="0" fontId="4" fillId="5" borderId="0" pivotButton="0" quotePrefix="0" xfId="1"/>
    <xf numFmtId="0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2" fontId="4" fillId="5" borderId="0" applyAlignment="1" pivotButton="0" quotePrefix="0" xfId="1">
      <alignment horizontal="center"/>
    </xf>
    <xf numFmtId="0" fontId="2" fillId="2" borderId="0" pivotButton="0" quotePrefix="0" xfId="0"/>
    <xf numFmtId="0" fontId="0" fillId="2" borderId="1" applyAlignment="1" pivotButton="0" quotePrefix="0" xfId="0">
      <alignment horizontal="center"/>
    </xf>
    <xf numFmtId="0" fontId="0" fillId="2" borderId="18" applyAlignment="1" pivotButton="0" quotePrefix="0" xfId="0">
      <alignment horizontal="center"/>
    </xf>
    <xf numFmtId="0" fontId="0" fillId="5" borderId="18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0" fontId="4" fillId="2" borderId="0" pivotButton="0" quotePrefix="0" xfId="2"/>
    <xf numFmtId="0" fontId="3" fillId="2" borderId="0" pivotButton="0" quotePrefix="0" xfId="2"/>
    <xf numFmtId="0" fontId="3" fillId="6" borderId="15" pivotButton="0" quotePrefix="0" xfId="0"/>
    <xf numFmtId="0" fontId="4" fillId="6" borderId="0" applyAlignment="1" pivotButton="0" quotePrefix="0" xfId="0">
      <alignment horizontal="center"/>
    </xf>
    <xf numFmtId="0" fontId="3" fillId="6" borderId="13" pivotButton="0" quotePrefix="0" xfId="0"/>
    <xf numFmtId="0" fontId="4" fillId="6" borderId="14" applyAlignment="1" pivotButton="0" quotePrefix="0" xfId="0">
      <alignment horizontal="center"/>
    </xf>
    <xf numFmtId="0" fontId="4" fillId="2" borderId="16" applyAlignment="1" pivotButton="0" quotePrefix="0" xfId="0">
      <alignment horizontal="center"/>
    </xf>
    <xf numFmtId="0" fontId="4" fillId="2" borderId="14" applyAlignment="1" pivotButton="0" quotePrefix="0" xfId="0">
      <alignment horizontal="center"/>
    </xf>
    <xf numFmtId="0" fontId="4" fillId="2" borderId="17" applyAlignment="1" pivotButton="0" quotePrefix="0" xfId="0">
      <alignment horizontal="center"/>
    </xf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0" fontId="17" fillId="2" borderId="16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17" fillId="2" borderId="35" applyAlignment="1" pivotButton="0" quotePrefix="0" xfId="0">
      <alignment horizontal="center"/>
    </xf>
    <xf numFmtId="0" fontId="17" fillId="2" borderId="14" pivotButton="0" quotePrefix="0" xfId="0"/>
    <xf numFmtId="0" fontId="17" fillId="2" borderId="17" pivotButton="0" quotePrefix="0" xfId="0"/>
    <xf numFmtId="0" fontId="17" fillId="2" borderId="14" applyAlignment="1" pivotButton="0" quotePrefix="0" xfId="0">
      <alignment horizontal="center"/>
    </xf>
    <xf numFmtId="0" fontId="17" fillId="2" borderId="17" applyAlignment="1" pivotButton="0" quotePrefix="0" xfId="0">
      <alignment horizontal="center"/>
    </xf>
    <xf numFmtId="0" fontId="16" fillId="2" borderId="0" pivotButton="0" quotePrefix="0" xfId="0"/>
    <xf numFmtId="0" fontId="4" fillId="2" borderId="1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42" applyAlignment="1" pivotButton="0" quotePrefix="0" xfId="0">
      <alignment horizontal="left" vertical="center"/>
    </xf>
    <xf numFmtId="0" fontId="4" fillId="2" borderId="46" applyAlignment="1" pivotButton="0" quotePrefix="0" xfId="0">
      <alignment horizontal="left" vertical="center"/>
    </xf>
    <xf numFmtId="0" fontId="4" fillId="2" borderId="36" applyAlignment="1" pivotButton="0" quotePrefix="0" xfId="0">
      <alignment horizontal="left"/>
    </xf>
    <xf numFmtId="0" fontId="4" fillId="2" borderId="18" applyAlignment="1" pivotButton="0" quotePrefix="0" xfId="0">
      <alignment horizontal="center"/>
    </xf>
    <xf numFmtId="0" fontId="17" fillId="2" borderId="18" applyAlignment="1" pivotButton="0" quotePrefix="0" xfId="0">
      <alignment horizontal="center"/>
    </xf>
    <xf numFmtId="0" fontId="17" fillId="2" borderId="37" applyAlignment="1" pivotButton="0" quotePrefix="0" xfId="0">
      <alignment horizontal="center"/>
    </xf>
    <xf numFmtId="0" fontId="17" fillId="5" borderId="16" pivotButton="0" quotePrefix="0" xfId="0"/>
    <xf numFmtId="0" fontId="17" fillId="5" borderId="14" pivotButton="0" quotePrefix="0" xfId="0"/>
    <xf numFmtId="0" fontId="17" fillId="2" borderId="13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4" fillId="2" borderId="13" applyAlignment="1" pivotButton="0" quotePrefix="0" xfId="0">
      <alignment horizontal="left" vertical="center"/>
    </xf>
    <xf numFmtId="0" fontId="17" fillId="2" borderId="0" applyAlignment="1" pivotButton="0" quotePrefix="1" xfId="0">
      <alignment horizontal="center"/>
    </xf>
    <xf numFmtId="0" fontId="18" fillId="2" borderId="6" applyAlignment="1" pivotButton="0" quotePrefix="0" xfId="0">
      <alignment horizontal="center"/>
    </xf>
    <xf numFmtId="0" fontId="18" fillId="2" borderId="1" applyAlignment="1" pivotButton="0" quotePrefix="0" xfId="0">
      <alignment horizontal="center"/>
    </xf>
    <xf numFmtId="0" fontId="17" fillId="5" borderId="6" applyAlignment="1" pivotButton="0" quotePrefix="0" xfId="0">
      <alignment horizontal="center"/>
    </xf>
    <xf numFmtId="0" fontId="17" fillId="5" borderId="8" applyAlignment="1" pivotButton="0" quotePrefix="0" xfId="0">
      <alignment horizontal="center"/>
    </xf>
    <xf numFmtId="0" fontId="9" fillId="2" borderId="5" applyAlignment="1" pivotButton="0" quotePrefix="0" xfId="0">
      <alignment vertical="center" wrapText="1"/>
    </xf>
    <xf numFmtId="0" fontId="9" fillId="2" borderId="6" pivotButton="0" quotePrefix="0" xfId="0"/>
    <xf numFmtId="0" fontId="9" fillId="2" borderId="7" applyAlignment="1" pivotButton="0" quotePrefix="0" xfId="0">
      <alignment vertical="center" wrapText="1"/>
    </xf>
    <xf numFmtId="0" fontId="9" fillId="2" borderId="8" pivotButton="0" quotePrefix="0" xfId="0"/>
    <xf numFmtId="0" fontId="9" fillId="5" borderId="26" pivotButton="0" quotePrefix="0" xfId="0"/>
    <xf numFmtId="0" fontId="8" fillId="2" borderId="7" applyAlignment="1" pivotButton="0" quotePrefix="0" xfId="0">
      <alignment vertical="center" wrapText="1"/>
    </xf>
    <xf numFmtId="0" fontId="8" fillId="2" borderId="26" applyAlignment="1" pivotButton="0" quotePrefix="0" xfId="0">
      <alignment vertical="center" wrapText="1"/>
    </xf>
    <xf numFmtId="0" fontId="9" fillId="2" borderId="26" pivotButton="0" quotePrefix="0" xfId="0"/>
    <xf numFmtId="0" fontId="9" fillId="2" borderId="1" applyAlignment="1" pivotButton="0" quotePrefix="0" xfId="0">
      <alignment vertical="center" wrapText="1"/>
    </xf>
    <xf numFmtId="0" fontId="8" fillId="2" borderId="4" applyAlignment="1" pivotButton="0" quotePrefix="0" xfId="0">
      <alignment vertical="center" wrapText="1"/>
    </xf>
    <xf numFmtId="0" fontId="8" fillId="2" borderId="25" pivotButton="0" quotePrefix="0" xfId="0"/>
    <xf numFmtId="0" fontId="9" fillId="2" borderId="8" applyAlignment="1" pivotButton="0" quotePrefix="0" xfId="0">
      <alignment vertical="center" wrapText="1"/>
    </xf>
    <xf numFmtId="0" fontId="8" fillId="2" borderId="19" pivotButton="0" quotePrefix="0" xfId="0"/>
    <xf numFmtId="0" fontId="9" fillId="2" borderId="18" pivotButton="0" quotePrefix="0" xfId="0"/>
    <xf numFmtId="0" fontId="9" fillId="5" borderId="0" pivotButton="0" quotePrefix="0" xfId="0"/>
    <xf numFmtId="0" fontId="9" fillId="5" borderId="4" pivotButton="0" quotePrefix="0" xfId="0"/>
    <xf numFmtId="0" fontId="9" fillId="5" borderId="25" pivotButton="0" quotePrefix="0" xfId="0"/>
    <xf numFmtId="0" fontId="9" fillId="5" borderId="5" pivotButton="0" quotePrefix="0" xfId="0"/>
    <xf numFmtId="0" fontId="9" fillId="5" borderId="7" pivotButton="0" quotePrefix="0" xfId="0"/>
    <xf numFmtId="0" fontId="9" fillId="5" borderId="1" pivotButton="0" quotePrefix="0" xfId="0"/>
    <xf numFmtId="0" fontId="12" fillId="2" borderId="0" pivotButton="0" quotePrefix="0" xfId="0"/>
    <xf numFmtId="2" fontId="12" fillId="2" borderId="0" pivotButton="0" quotePrefix="0" xfId="0"/>
    <xf numFmtId="1" fontId="0" fillId="2" borderId="0" pivotButton="0" quotePrefix="0" xfId="0"/>
    <xf numFmtId="0" fontId="0" fillId="2" borderId="4" pivotButton="0" quotePrefix="0" xfId="0"/>
    <xf numFmtId="0" fontId="0" fillId="2" borderId="1" pivotButton="0" quotePrefix="0" xfId="0"/>
    <xf numFmtId="2" fontId="10" fillId="2" borderId="4" applyAlignment="1" pivotButton="0" quotePrefix="0" xfId="0">
      <alignment horizontal="right" vertical="center"/>
    </xf>
    <xf numFmtId="2" fontId="10" fillId="2" borderId="25" applyAlignment="1" pivotButton="0" quotePrefix="0" xfId="0">
      <alignment horizontal="right" vertical="center"/>
    </xf>
    <xf numFmtId="2" fontId="10" fillId="2" borderId="0" applyAlignment="1" pivotButton="0" quotePrefix="0" xfId="0">
      <alignment horizontal="right" vertical="center"/>
    </xf>
    <xf numFmtId="2" fontId="10" fillId="2" borderId="6" applyAlignment="1" pivotButton="0" quotePrefix="0" xfId="0">
      <alignment horizontal="right" vertical="center"/>
    </xf>
    <xf numFmtId="0" fontId="0" fillId="2" borderId="8" pivotButton="0" quotePrefix="0" xfId="0"/>
    <xf numFmtId="1" fontId="10" fillId="2" borderId="34" applyAlignment="1" pivotButton="0" quotePrefix="0" xfId="0">
      <alignment horizontal="center"/>
    </xf>
    <xf numFmtId="1" fontId="10" fillId="2" borderId="0" applyAlignment="1" pivotButton="0" quotePrefix="0" xfId="0">
      <alignment horizontal="center"/>
    </xf>
    <xf numFmtId="1" fontId="10" fillId="2" borderId="5" applyAlignment="1" pivotButton="0" quotePrefix="0" xfId="0">
      <alignment horizontal="center"/>
    </xf>
    <xf numFmtId="1" fontId="10" fillId="2" borderId="6" applyAlignment="1" pivotButton="0" quotePrefix="0" xfId="0">
      <alignment horizontal="center"/>
    </xf>
    <xf numFmtId="2" fontId="10" fillId="2" borderId="5" applyAlignment="1" pivotButton="0" quotePrefix="0" xfId="0">
      <alignment horizontal="center"/>
    </xf>
    <xf numFmtId="2" fontId="10" fillId="2" borderId="0" applyAlignment="1" pivotButton="0" quotePrefix="0" xfId="0">
      <alignment horizontal="center"/>
    </xf>
    <xf numFmtId="1" fontId="10" fillId="2" borderId="31" applyAlignment="1" pivotButton="0" quotePrefix="0" xfId="0">
      <alignment horizontal="center"/>
    </xf>
    <xf numFmtId="1" fontId="10" fillId="2" borderId="7" applyAlignment="1" pivotButton="0" quotePrefix="0" xfId="0">
      <alignment horizontal="center"/>
    </xf>
    <xf numFmtId="1" fontId="10" fillId="2" borderId="1" applyAlignment="1" pivotButton="0" quotePrefix="0" xfId="0">
      <alignment horizontal="center"/>
    </xf>
    <xf numFmtId="1" fontId="10" fillId="2" borderId="8" applyAlignment="1" pivotButton="0" quotePrefix="0" xfId="0">
      <alignment horizontal="center"/>
    </xf>
    <xf numFmtId="2" fontId="10" fillId="2" borderId="7" applyAlignment="1" pivotButton="0" quotePrefix="0" xfId="0">
      <alignment horizontal="center"/>
    </xf>
    <xf numFmtId="2" fontId="10" fillId="2" borderId="1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2" fillId="2" borderId="33" applyAlignment="1" pivotButton="0" quotePrefix="0" xfId="0">
      <alignment horizontal="center"/>
    </xf>
    <xf numFmtId="0" fontId="0" fillId="2" borderId="26" pivotButton="0" quotePrefix="0" xfId="0"/>
    <xf numFmtId="0" fontId="12" fillId="2" borderId="4" applyAlignment="1" pivotButton="0" quotePrefix="0" xfId="0">
      <alignment horizontal="center"/>
    </xf>
    <xf numFmtId="0" fontId="12" fillId="2" borderId="25" pivotButton="0" quotePrefix="0" xfId="0"/>
    <xf numFmtId="0" fontId="12" fillId="2" borderId="34" applyAlignment="1" pivotButton="0" quotePrefix="0" xfId="0">
      <alignment horizontal="center"/>
    </xf>
    <xf numFmtId="0" fontId="12" fillId="2" borderId="5" applyAlignment="1" pivotButton="0" quotePrefix="0" xfId="0">
      <alignment horizontal="center"/>
    </xf>
    <xf numFmtId="0" fontId="12" fillId="2" borderId="6" applyAlignment="1" pivotButton="0" quotePrefix="0" xfId="0">
      <alignment horizontal="center"/>
    </xf>
    <xf numFmtId="0" fontId="12" fillId="2" borderId="5" applyAlignment="1" pivotButton="0" quotePrefix="0" xfId="0">
      <alignment horizontal="right"/>
    </xf>
    <xf numFmtId="0" fontId="12" fillId="2" borderId="0" applyAlignment="1" pivotButton="0" quotePrefix="0" xfId="0">
      <alignment horizontal="right"/>
    </xf>
    <xf numFmtId="0" fontId="12" fillId="2" borderId="6" applyAlignment="1" pivotButton="0" quotePrefix="0" xfId="0">
      <alignment horizontal="right"/>
    </xf>
    <xf numFmtId="0" fontId="12" fillId="2" borderId="26" pivotButton="0" quotePrefix="0" xfId="0"/>
    <xf numFmtId="0" fontId="12" fillId="2" borderId="5" pivotButton="0" quotePrefix="0" xfId="0"/>
    <xf numFmtId="0" fontId="12" fillId="2" borderId="7" pivotButton="0" quotePrefix="0" xfId="0"/>
    <xf numFmtId="164" fontId="10" fillId="2" borderId="0" applyAlignment="1" pivotButton="0" quotePrefix="0" xfId="0">
      <alignment horizontal="center"/>
    </xf>
    <xf numFmtId="0" fontId="10" fillId="2" borderId="0" pivotButton="0" quotePrefix="0" xfId="0"/>
    <xf numFmtId="164" fontId="10" fillId="5" borderId="0" applyAlignment="1" pivotButton="0" quotePrefix="0" xfId="0">
      <alignment horizontal="center"/>
    </xf>
    <xf numFmtId="1" fontId="10" fillId="5" borderId="6" applyAlignment="1" pivotButton="0" quotePrefix="0" xfId="6">
      <alignment horizontal="center"/>
    </xf>
    <xf numFmtId="0" fontId="10" fillId="5" borderId="5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0" fillId="5" borderId="7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0" fillId="5" borderId="8" applyAlignment="1" pivotButton="0" quotePrefix="0" xfId="0">
      <alignment horizontal="center"/>
    </xf>
    <xf numFmtId="1" fontId="10" fillId="5" borderId="1" applyAlignment="1" pivotButton="0" quotePrefix="0" xfId="0">
      <alignment horizontal="right" vertical="center"/>
    </xf>
    <xf numFmtId="1" fontId="10" fillId="5" borderId="4" applyAlignment="1" pivotButton="0" quotePrefix="0" xfId="0">
      <alignment horizontal="right" vertical="center"/>
    </xf>
    <xf numFmtId="1" fontId="10" fillId="5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10" fillId="2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4" fillId="0" borderId="0" applyAlignment="1" pivotButton="0" quotePrefix="0" xfId="8">
      <alignment horizontal="center"/>
    </xf>
    <xf numFmtId="164" fontId="4" fillId="0" borderId="0" applyAlignment="1" pivotButton="0" quotePrefix="0" xfId="8">
      <alignment horizontal="center"/>
    </xf>
    <xf numFmtId="3" fontId="4" fillId="0" borderId="0" applyAlignment="1" pivotButton="0" quotePrefix="0" xfId="8">
      <alignment horizontal="center"/>
    </xf>
    <xf numFmtId="3" fontId="10" fillId="0" borderId="0" applyAlignment="1" pivotButton="0" quotePrefix="0" xfId="8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3" fontId="0" fillId="9" borderId="0" applyAlignment="1" pivotButton="0" quotePrefix="0" xfId="0">
      <alignment horizontal="center"/>
    </xf>
    <xf numFmtId="0" fontId="23" fillId="7" borderId="0" applyAlignment="1" pivotButton="0" quotePrefix="0" xfId="9">
      <alignment horizontal="center"/>
    </xf>
    <xf numFmtId="164" fontId="23" fillId="7" borderId="0" applyAlignment="1" pivotButton="0" quotePrefix="0" xfId="9">
      <alignment horizontal="center"/>
    </xf>
    <xf numFmtId="3" fontId="23" fillId="7" borderId="0" applyAlignment="1" pivotButton="0" quotePrefix="0" xfId="9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4" fillId="2" borderId="0" applyAlignment="1" pivotButton="0" quotePrefix="0" xfId="0">
      <alignment horizontal="center"/>
    </xf>
    <xf numFmtId="2" fontId="4" fillId="2" borderId="0" applyAlignment="1" pivotButton="0" quotePrefix="0" xfId="0">
      <alignment horizontal="left"/>
    </xf>
    <xf numFmtId="2" fontId="4" fillId="2" borderId="0" applyAlignment="1" pivotButton="0" quotePrefix="0" xfId="7">
      <alignment horizontal="left"/>
    </xf>
    <xf numFmtId="3" fontId="4" fillId="5" borderId="0" applyAlignment="1" pivotButton="0" quotePrefix="0" xfId="0">
      <alignment horizontal="center"/>
    </xf>
    <xf numFmtId="3" fontId="0" fillId="2" borderId="0" pivotButton="0" quotePrefix="0" xfId="0"/>
    <xf numFmtId="0" fontId="3" fillId="2" borderId="0" applyAlignment="1" pivotButton="0" quotePrefix="0" xfId="0">
      <alignment vertical="center"/>
    </xf>
    <xf numFmtId="0" fontId="11" fillId="6" borderId="15" pivotButton="0" quotePrefix="0" xfId="0"/>
    <xf numFmtId="0" fontId="11" fillId="6" borderId="0" pivotButton="0" quotePrefix="0" xfId="0"/>
    <xf numFmtId="0" fontId="11" fillId="6" borderId="40" pivotButton="0" quotePrefix="0" xfId="0"/>
    <xf numFmtId="0" fontId="11" fillId="6" borderId="16" pivotButton="0" quotePrefix="0" xfId="0"/>
    <xf numFmtId="0" fontId="11" fillId="6" borderId="5" pivotButton="0" quotePrefix="0" xfId="0"/>
    <xf numFmtId="10" fontId="11" fillId="6" borderId="5" pivotButton="0" quotePrefix="0" xfId="0"/>
    <xf numFmtId="0" fontId="11" fillId="10" borderId="5" pivotButton="0" quotePrefix="0" xfId="0"/>
    <xf numFmtId="0" fontId="11" fillId="2" borderId="0" pivotButton="0" quotePrefix="0" xfId="0"/>
    <xf numFmtId="2" fontId="11" fillId="10" borderId="5" pivotButton="0" quotePrefix="0" xfId="0"/>
    <xf numFmtId="0" fontId="11" fillId="6" borderId="13" pivotButton="0" quotePrefix="0" xfId="0"/>
    <xf numFmtId="0" fontId="11" fillId="6" borderId="14" pivotButton="0" quotePrefix="0" xfId="0"/>
    <xf numFmtId="2" fontId="11" fillId="10" borderId="24" pivotButton="0" quotePrefix="0" xfId="0"/>
    <xf numFmtId="0" fontId="11" fillId="6" borderId="17" pivotButton="0" quotePrefix="0" xfId="0"/>
    <xf numFmtId="0" fontId="11" fillId="6" borderId="49" pivotButton="0" quotePrefix="0" xfId="0"/>
    <xf numFmtId="0" fontId="24" fillId="6" borderId="50" applyAlignment="1" pivotButton="0" quotePrefix="0" xfId="0">
      <alignment horizontal="center"/>
    </xf>
    <xf numFmtId="0" fontId="24" fillId="6" borderId="51" applyAlignment="1" pivotButton="0" quotePrefix="0" xfId="0">
      <alignment horizontal="center"/>
    </xf>
    <xf numFmtId="0" fontId="24" fillId="6" borderId="52" applyAlignment="1" pivotButton="0" quotePrefix="0" xfId="0">
      <alignment horizontal="center"/>
    </xf>
    <xf numFmtId="0" fontId="11" fillId="6" borderId="53" pivotButton="0" quotePrefix="0" xfId="0"/>
    <xf numFmtId="0" fontId="24" fillId="6" borderId="6" applyAlignment="1" pivotButton="0" quotePrefix="0" xfId="0">
      <alignment horizontal="center"/>
    </xf>
    <xf numFmtId="0" fontId="24" fillId="6" borderId="34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38" applyAlignment="1" pivotButton="0" quotePrefix="0" xfId="0">
      <alignment horizontal="center"/>
    </xf>
    <xf numFmtId="0" fontId="24" fillId="6" borderId="54" pivotButton="0" quotePrefix="0" xfId="0"/>
    <xf numFmtId="0" fontId="11" fillId="6" borderId="8" applyAlignment="1" pivotButton="0" quotePrefix="0" xfId="0">
      <alignment horizontal="center"/>
    </xf>
    <xf numFmtId="0" fontId="11" fillId="6" borderId="31" applyAlignment="1" pivotButton="0" quotePrefix="0" xfId="0">
      <alignment horizontal="center"/>
    </xf>
    <xf numFmtId="0" fontId="11" fillId="6" borderId="55" applyAlignment="1" pivotButton="0" quotePrefix="0" xfId="0">
      <alignment horizontal="center"/>
    </xf>
    <xf numFmtId="0" fontId="11" fillId="6" borderId="6" pivotButton="0" quotePrefix="0" xfId="0"/>
    <xf numFmtId="0" fontId="11" fillId="6" borderId="34" pivotButton="0" quotePrefix="0" xfId="0"/>
    <xf numFmtId="2" fontId="11" fillId="6" borderId="34" pivotButton="0" quotePrefix="0" xfId="0"/>
    <xf numFmtId="1" fontId="11" fillId="10" borderId="34" applyAlignment="1" pivotButton="0" quotePrefix="0" xfId="0">
      <alignment horizontal="right"/>
    </xf>
    <xf numFmtId="1" fontId="11" fillId="10" borderId="38" applyAlignment="1" pivotButton="0" quotePrefix="0" xfId="0">
      <alignment horizontal="right"/>
    </xf>
    <xf numFmtId="0" fontId="24" fillId="2" borderId="56" pivotButton="0" quotePrefix="0" xfId="0"/>
    <xf numFmtId="0" fontId="24" fillId="2" borderId="28" pivotButton="0" quotePrefix="0" xfId="0"/>
    <xf numFmtId="0" fontId="24" fillId="2" borderId="57" pivotButton="0" quotePrefix="0" xfId="0"/>
    <xf numFmtId="1" fontId="11" fillId="10" borderId="57" applyAlignment="1" pivotButton="0" quotePrefix="0" xfId="0">
      <alignment horizontal="right"/>
    </xf>
    <xf numFmtId="0" fontId="24" fillId="6" borderId="6" applyAlignment="1" pivotButton="0" quotePrefix="0" xfId="0">
      <alignment horizontal="center" vertical="center"/>
    </xf>
    <xf numFmtId="0" fontId="24" fillId="6" borderId="34" applyAlignment="1" pivotButton="0" quotePrefix="0" xfId="0">
      <alignment horizontal="center" vertical="center"/>
    </xf>
    <xf numFmtId="0" fontId="24" fillId="6" borderId="5" applyAlignment="1" pivotButton="0" quotePrefix="0" xfId="0">
      <alignment horizontal="center" vertical="center"/>
    </xf>
    <xf numFmtId="0" fontId="3" fillId="2" borderId="34" applyAlignment="1" pivotButton="0" quotePrefix="0" xfId="0">
      <alignment horizontal="center"/>
    </xf>
    <xf numFmtId="0" fontId="24" fillId="6" borderId="53" pivotButton="0" quotePrefix="0" xfId="0"/>
    <xf numFmtId="0" fontId="11" fillId="6" borderId="31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0" fontId="24" fillId="6" borderId="58" pivotButton="0" quotePrefix="0" xfId="0"/>
    <xf numFmtId="1" fontId="11" fillId="10" borderId="41" applyAlignment="1" pivotButton="0" quotePrefix="0" xfId="0">
      <alignment horizontal="right"/>
    </xf>
    <xf numFmtId="2" fontId="11" fillId="10" borderId="41" applyAlignment="1" pivotButton="0" quotePrefix="0" xfId="0">
      <alignment horizontal="right"/>
    </xf>
    <xf numFmtId="0" fontId="11" fillId="6" borderId="21" pivotButton="0" quotePrefix="0" xfId="0"/>
    <xf numFmtId="0" fontId="11" fillId="6" borderId="22" pivotButton="0" quotePrefix="0" xfId="0"/>
    <xf numFmtId="0" fontId="0" fillId="2" borderId="22" pivotButton="0" quotePrefix="0" xfId="0"/>
    <xf numFmtId="0" fontId="11" fillId="6" borderId="22" applyAlignment="1" pivotButton="0" quotePrefix="0" xfId="0">
      <alignment horizontal="right"/>
    </xf>
    <xf numFmtId="0" fontId="29" fillId="2" borderId="0" pivotButton="0" quotePrefix="0" xfId="10"/>
    <xf numFmtId="0" fontId="29" fillId="2" borderId="0" applyAlignment="1" pivotButton="0" quotePrefix="0" xfId="10">
      <alignment horizontal="center"/>
    </xf>
    <xf numFmtId="0" fontId="30" fillId="2" borderId="0" pivotButton="0" quotePrefix="0" xfId="10"/>
    <xf numFmtId="0" fontId="29" fillId="2" borderId="0" applyAlignment="1" pivotButton="0" quotePrefix="0" xfId="10">
      <alignment horizontal="center" wrapText="1"/>
    </xf>
    <xf numFmtId="0" fontId="30" fillId="2" borderId="0" applyAlignment="1" pivotButton="0" quotePrefix="0" xfId="10">
      <alignment horizontal="center"/>
    </xf>
    <xf numFmtId="0" fontId="29" fillId="2" borderId="14" pivotButton="0" quotePrefix="0" xfId="10"/>
    <xf numFmtId="0" fontId="29" fillId="2" borderId="10" applyAlignment="1" pivotButton="0" quotePrefix="0" xfId="10">
      <alignment horizontal="center"/>
    </xf>
    <xf numFmtId="0" fontId="29" fillId="2" borderId="12" applyAlignment="1" pivotButton="0" quotePrefix="0" xfId="10">
      <alignment horizontal="center"/>
    </xf>
    <xf numFmtId="166" fontId="29" fillId="5" borderId="0" pivotButton="0" quotePrefix="0" xfId="10"/>
    <xf numFmtId="167" fontId="29" fillId="5" borderId="0" pivotButton="0" quotePrefix="0" xfId="10"/>
    <xf numFmtId="167" fontId="29" fillId="5" borderId="16" pivotButton="0" quotePrefix="0" xfId="10"/>
    <xf numFmtId="0" fontId="29" fillId="2" borderId="21" applyAlignment="1" pivotButton="0" quotePrefix="0" xfId="10">
      <alignment horizontal="center" wrapText="1"/>
    </xf>
    <xf numFmtId="0" fontId="29" fillId="2" borderId="22" applyAlignment="1" pivotButton="0" quotePrefix="0" xfId="10">
      <alignment horizontal="center" wrapText="1"/>
    </xf>
    <xf numFmtId="0" fontId="29" fillId="2" borderId="23" applyAlignment="1" pivotButton="0" quotePrefix="0" xfId="10">
      <alignment horizontal="center" wrapText="1"/>
    </xf>
    <xf numFmtId="0" fontId="29" fillId="2" borderId="15" applyAlignment="1" pivotButton="0" quotePrefix="0" xfId="10">
      <alignment horizontal="center"/>
    </xf>
    <xf numFmtId="0" fontId="29" fillId="5" borderId="0" applyAlignment="1" pivotButton="0" quotePrefix="0" xfId="10">
      <alignment horizontal="center"/>
    </xf>
    <xf numFmtId="0" fontId="29" fillId="2" borderId="16" applyAlignment="1" pivotButton="0" quotePrefix="0" xfId="10">
      <alignment horizontal="center"/>
    </xf>
    <xf numFmtId="2" fontId="29" fillId="2" borderId="11" applyAlignment="1" pivotButton="0" quotePrefix="0" xfId="10">
      <alignment horizontal="center"/>
    </xf>
    <xf numFmtId="2" fontId="29" fillId="2" borderId="12" applyAlignment="1" pivotButton="0" quotePrefix="0" xfId="10">
      <alignment horizontal="center"/>
    </xf>
    <xf numFmtId="2" fontId="29" fillId="2" borderId="0" applyAlignment="1" pivotButton="0" quotePrefix="0" xfId="10">
      <alignment horizontal="center"/>
    </xf>
    <xf numFmtId="2" fontId="29" fillId="2" borderId="16" applyAlignment="1" pivotButton="0" quotePrefix="0" xfId="10">
      <alignment horizontal="center"/>
    </xf>
    <xf numFmtId="0" fontId="29" fillId="2" borderId="13" applyAlignment="1" pivotButton="0" quotePrefix="0" xfId="10">
      <alignment horizontal="center"/>
    </xf>
    <xf numFmtId="2" fontId="29" fillId="2" borderId="14" applyAlignment="1" pivotButton="0" quotePrefix="0" xfId="10">
      <alignment horizontal="center"/>
    </xf>
    <xf numFmtId="2" fontId="29" fillId="2" borderId="17" applyAlignment="1" pivotButton="0" quotePrefix="0" xfId="10">
      <alignment horizontal="center"/>
    </xf>
    <xf numFmtId="0" fontId="29" fillId="2" borderId="10" applyAlignment="1" pivotButton="0" quotePrefix="0" xfId="10">
      <alignment horizontal="left"/>
    </xf>
    <xf numFmtId="0" fontId="29" fillId="2" borderId="11" applyAlignment="1" pivotButton="0" quotePrefix="0" xfId="10">
      <alignment horizontal="centerContinuous"/>
    </xf>
    <xf numFmtId="0" fontId="29" fillId="2" borderId="13" applyAlignment="1" pivotButton="0" quotePrefix="0" xfId="10">
      <alignment horizontal="left"/>
    </xf>
    <xf numFmtId="0" fontId="29" fillId="2" borderId="14" applyAlignment="1" pivotButton="0" quotePrefix="0" xfId="10">
      <alignment horizontal="centerContinuous"/>
    </xf>
    <xf numFmtId="0" fontId="29" fillId="2" borderId="17" applyAlignment="1" pivotButton="0" quotePrefix="0" xfId="10">
      <alignment horizontal="center"/>
    </xf>
    <xf numFmtId="0" fontId="29" fillId="2" borderId="10" pivotButton="0" quotePrefix="0" xfId="10"/>
    <xf numFmtId="0" fontId="29" fillId="2" borderId="11" pivotButton="0" quotePrefix="0" xfId="10"/>
    <xf numFmtId="0" fontId="29" fillId="2" borderId="13" pivotButton="0" quotePrefix="0" xfId="10"/>
    <xf numFmtId="166" fontId="30" fillId="2" borderId="0" applyAlignment="1" pivotButton="0" quotePrefix="0" xfId="10">
      <alignment horizontal="center"/>
    </xf>
    <xf numFmtId="166" fontId="29" fillId="2" borderId="12" applyAlignment="1" pivotButton="0" quotePrefix="0" xfId="10">
      <alignment horizontal="center"/>
    </xf>
    <xf numFmtId="167" fontId="30" fillId="2" borderId="0" applyAlignment="1" pivotButton="0" quotePrefix="0" xfId="10">
      <alignment horizontal="center"/>
    </xf>
    <xf numFmtId="167" fontId="29" fillId="2" borderId="12" applyAlignment="1" pivotButton="0" quotePrefix="0" xfId="10">
      <alignment horizontal="center"/>
    </xf>
    <xf numFmtId="0" fontId="29" fillId="2" borderId="14" applyAlignment="1" pivotButton="0" quotePrefix="0" xfId="10">
      <alignment horizontal="center"/>
    </xf>
    <xf numFmtId="0" fontId="29" fillId="2" borderId="16" pivotButton="0" quotePrefix="0" xfId="10"/>
    <xf numFmtId="0" fontId="20" fillId="2" borderId="0" pivotButton="0" quotePrefix="0" xfId="0"/>
    <xf numFmtId="0" fontId="2" fillId="2" borderId="1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19" fillId="2" borderId="0" pivotButton="0" quotePrefix="0" xfId="0"/>
    <xf numFmtId="0" fontId="3" fillId="2" borderId="1" applyAlignment="1" pivotButton="0" quotePrefix="0" xfId="0">
      <alignment horizontal="right"/>
    </xf>
    <xf numFmtId="2" fontId="0" fillId="2" borderId="0" pivotButton="0" quotePrefix="0" xfId="0"/>
    <xf numFmtId="0" fontId="29" fillId="5" borderId="4" applyAlignment="1" pivotButton="0" quotePrefix="0" xfId="10">
      <alignment horizontal="center"/>
    </xf>
    <xf numFmtId="168" fontId="32" fillId="2" borderId="0" pivotButton="0" quotePrefix="0" xfId="0"/>
    <xf numFmtId="169" fontId="0" fillId="2" borderId="0" pivotButton="0" quotePrefix="0" xfId="0"/>
    <xf numFmtId="169" fontId="20" fillId="2" borderId="0" pivotButton="0" quotePrefix="0" xfId="0"/>
    <xf numFmtId="0" fontId="20" fillId="2" borderId="1" pivotButton="0" quotePrefix="0" xfId="0"/>
    <xf numFmtId="9" fontId="0" fillId="2" borderId="0" pivotButton="0" quotePrefix="0" xfId="0"/>
    <xf numFmtId="168" fontId="0" fillId="2" borderId="0" pivotButton="0" quotePrefix="0" xfId="0"/>
    <xf numFmtId="168" fontId="20" fillId="2" borderId="0" pivotButton="0" quotePrefix="0" xfId="0"/>
    <xf numFmtId="0" fontId="9" fillId="2" borderId="0" applyAlignment="1" pivotButton="0" quotePrefix="0" xfId="0">
      <alignment horizontal="right"/>
    </xf>
    <xf numFmtId="0" fontId="8" fillId="2" borderId="26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/>
    </xf>
    <xf numFmtId="0" fontId="3" fillId="2" borderId="60" applyAlignment="1" pivotButton="0" quotePrefix="0" xfId="0">
      <alignment horizontal="center" vertical="center"/>
    </xf>
    <xf numFmtId="0" fontId="17" fillId="5" borderId="26" applyAlignment="1" pivotButton="0" quotePrefix="0" xfId="0">
      <alignment horizontal="center"/>
    </xf>
    <xf numFmtId="0" fontId="17" fillId="5" borderId="4" applyAlignment="1" pivotButton="0" quotePrefix="0" xfId="0">
      <alignment horizontal="center"/>
    </xf>
    <xf numFmtId="0" fontId="17" fillId="5" borderId="25" applyAlignment="1" pivotButton="0" quotePrefix="0" xfId="0">
      <alignment horizontal="center"/>
    </xf>
    <xf numFmtId="0" fontId="17" fillId="5" borderId="5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0" fontId="18" fillId="2" borderId="5" applyAlignment="1" pivotButton="0" quotePrefix="0" xfId="0">
      <alignment horizontal="center"/>
    </xf>
    <xf numFmtId="0" fontId="17" fillId="5" borderId="7" applyAlignment="1" pivotButton="0" quotePrefix="0" xfId="0">
      <alignment horizontal="center" vertical="center"/>
    </xf>
    <xf numFmtId="0" fontId="4" fillId="2" borderId="52" applyAlignment="1" pivotButton="0" quotePrefix="0" xfId="0">
      <alignment horizontal="center" vertical="center"/>
    </xf>
    <xf numFmtId="0" fontId="4" fillId="2" borderId="55" applyAlignment="1" pivotButton="0" quotePrefix="0" xfId="0">
      <alignment horizontal="center" vertical="center"/>
    </xf>
    <xf numFmtId="0" fontId="4" fillId="2" borderId="60" applyAlignment="1" pivotButton="0" quotePrefix="0" xfId="0">
      <alignment horizontal="left" vertical="center"/>
    </xf>
    <xf numFmtId="0" fontId="3" fillId="2" borderId="10" applyAlignment="1" pivotButton="0" quotePrefix="0" xfId="0">
      <alignment horizontal="center" vertical="center"/>
    </xf>
    <xf numFmtId="0" fontId="0" fillId="11" borderId="0" pivotButton="0" quotePrefix="0" xfId="0"/>
    <xf numFmtId="0" fontId="3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9" fillId="11" borderId="0" pivotButton="0" quotePrefix="0" xfId="2"/>
    <xf numFmtId="0" fontId="4" fillId="11" borderId="0" pivotButton="0" quotePrefix="0" xfId="2"/>
    <xf numFmtId="0" fontId="4" fillId="11" borderId="0" applyAlignment="1" pivotButton="0" quotePrefix="0" xfId="2">
      <alignment horizontal="center"/>
    </xf>
    <xf numFmtId="0" fontId="5" fillId="11" borderId="0" pivotButton="0" quotePrefix="0" xfId="0"/>
    <xf numFmtId="0" fontId="13" fillId="11" borderId="0" pivotButton="0" quotePrefix="0" xfId="0"/>
    <xf numFmtId="0" fontId="14" fillId="11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164" fontId="0" fillId="2" borderId="0" applyAlignment="1" pivotButton="0" quotePrefix="0" xfId="0">
      <alignment horizontal="center"/>
    </xf>
    <xf numFmtId="170" fontId="0" fillId="2" borderId="0" pivotButton="0" quotePrefix="0" xfId="0"/>
    <xf numFmtId="49" fontId="0" fillId="2" borderId="0" applyAlignment="1" pivotButton="0" quotePrefix="0" xfId="0">
      <alignment horizontal="center"/>
    </xf>
    <xf numFmtId="0" fontId="21" fillId="2" borderId="0" applyAlignment="1" pivotButton="0" quotePrefix="0" xfId="0">
      <alignment horizontal="center"/>
    </xf>
    <xf numFmtId="2" fontId="0" fillId="2" borderId="0" applyAlignment="1" pivotButton="0" quotePrefix="0" xfId="0">
      <alignment horizontal="center"/>
    </xf>
    <xf numFmtId="2" fontId="21" fillId="2" borderId="0" applyAlignment="1" pivotButton="0" quotePrefix="0" xfId="0">
      <alignment horizontal="center"/>
    </xf>
    <xf numFmtId="171" fontId="0" fillId="2" borderId="0" pivotButton="0" quotePrefix="0" xfId="7"/>
    <xf numFmtId="3" fontId="4" fillId="2" borderId="1" applyAlignment="1" pivotButton="0" quotePrefix="0" xfId="0">
      <alignment horizontal="center"/>
    </xf>
    <xf numFmtId="9" fontId="4" fillId="2" borderId="25" applyAlignment="1" pivotButton="0" quotePrefix="0" xfId="0">
      <alignment horizontal="center"/>
    </xf>
    <xf numFmtId="10" fontId="0" fillId="2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1" fontId="4" fillId="0" borderId="3" applyAlignment="1" pivotButton="0" quotePrefix="0" xfId="0">
      <alignment horizontal="center"/>
    </xf>
    <xf numFmtId="1" fontId="4" fillId="0" borderId="9" applyAlignment="1" pivotButton="0" quotePrefix="0" xfId="0">
      <alignment horizontal="center"/>
    </xf>
    <xf numFmtId="0" fontId="29" fillId="0" borderId="0" pivotButton="0" quotePrefix="0" xfId="10"/>
    <xf numFmtId="0" fontId="29" fillId="0" borderId="0" applyAlignment="1" pivotButton="0" quotePrefix="0" xfId="10">
      <alignment horizontal="center"/>
    </xf>
    <xf numFmtId="0" fontId="30" fillId="0" borderId="0" pivotButton="0" quotePrefix="0" xfId="10"/>
    <xf numFmtId="0" fontId="29" fillId="0" borderId="0" applyAlignment="1" pivotButton="0" quotePrefix="0" xfId="10">
      <alignment horizontal="center" wrapText="1"/>
    </xf>
    <xf numFmtId="0" fontId="28" fillId="0" borderId="0" pivotButton="0" quotePrefix="0" xfId="10"/>
    <xf numFmtId="166" fontId="29" fillId="0" borderId="0" pivotButton="0" quotePrefix="0" xfId="10"/>
    <xf numFmtId="167" fontId="29" fillId="0" borderId="0" pivotButton="0" quotePrefix="0" xfId="10"/>
    <xf numFmtId="167" fontId="29" fillId="0" borderId="0" applyAlignment="1" pivotButton="0" quotePrefix="0" xfId="10">
      <alignment horizontal="center"/>
    </xf>
    <xf numFmtId="164" fontId="29" fillId="0" borderId="0" pivotButton="0" quotePrefix="0" xfId="10"/>
    <xf numFmtId="166" fontId="29" fillId="2" borderId="22" pivotButton="0" quotePrefix="0" xfId="10"/>
    <xf numFmtId="167" fontId="29" fillId="2" borderId="22" pivotButton="0" quotePrefix="0" xfId="10"/>
    <xf numFmtId="167" fontId="29" fillId="2" borderId="23" pivotButton="0" quotePrefix="0" xfId="10"/>
    <xf numFmtId="0" fontId="29" fillId="2" borderId="21" applyAlignment="1" pivotButton="0" quotePrefix="0" xfId="10">
      <alignment horizontal="left"/>
    </xf>
    <xf numFmtId="0" fontId="29" fillId="2" borderId="22" pivotButton="0" quotePrefix="0" xfId="10"/>
    <xf numFmtId="0" fontId="9" fillId="2" borderId="4" applyAlignment="1" pivotButton="0" quotePrefix="0" xfId="0">
      <alignment vertical="center" wrapText="1"/>
    </xf>
    <xf numFmtId="0" fontId="9" fillId="2" borderId="25" applyAlignment="1" pivotButton="0" quotePrefix="0" xfId="0">
      <alignment vertical="center" wrapText="1"/>
    </xf>
    <xf numFmtId="0" fontId="9" fillId="0" borderId="0" pivotButton="0" quotePrefix="0" xfId="0"/>
    <xf numFmtId="0" fontId="8" fillId="0" borderId="0" pivotButton="0" quotePrefix="0" xfId="0"/>
    <xf numFmtId="172" fontId="9" fillId="0" borderId="0" pivotButton="0" quotePrefix="0" xfId="0"/>
    <xf numFmtId="173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2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7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center"/>
    </xf>
    <xf numFmtId="0" fontId="4" fillId="2" borderId="39" applyAlignment="1" pivotButton="0" quotePrefix="0" xfId="2">
      <alignment horizontal="center"/>
    </xf>
    <xf numFmtId="0" fontId="4" fillId="2" borderId="62" applyAlignment="1" pivotButton="0" quotePrefix="0" xfId="2">
      <alignment horizontal="center"/>
    </xf>
    <xf numFmtId="0" fontId="4" fillId="2" borderId="51" applyAlignment="1" pivotButton="0" quotePrefix="0" xfId="2">
      <alignment horizontal="center"/>
    </xf>
    <xf numFmtId="0" fontId="4" fillId="2" borderId="12" applyAlignment="1" pivotButton="0" quotePrefix="0" xfId="2">
      <alignment horizontal="center"/>
    </xf>
    <xf numFmtId="0" fontId="4" fillId="5" borderId="51" applyAlignment="1" pivotButton="0" quotePrefix="0" xfId="2">
      <alignment horizontal="center"/>
    </xf>
    <xf numFmtId="0" fontId="4" fillId="5" borderId="12" applyAlignment="1" pivotButton="0" quotePrefix="0" xfId="2">
      <alignment horizontal="center"/>
    </xf>
    <xf numFmtId="0" fontId="4" fillId="5" borderId="17" applyAlignment="1" pivotButton="0" quotePrefix="0" xfId="2">
      <alignment horizontal="center"/>
    </xf>
    <xf numFmtId="0" fontId="9" fillId="2" borderId="26" applyAlignment="1" pivotButton="0" quotePrefix="0" xfId="0">
      <alignment vertical="center" wrapText="1"/>
    </xf>
    <xf numFmtId="0" fontId="9" fillId="2" borderId="19" applyAlignment="1" pivotButton="0" quotePrefix="0" xfId="0">
      <alignment vertical="center" wrapText="1"/>
    </xf>
    <xf numFmtId="0" fontId="9" fillId="2" borderId="18" applyAlignment="1" pivotButton="0" quotePrefix="0" xfId="0">
      <alignment vertical="center" wrapText="1"/>
    </xf>
    <xf numFmtId="0" fontId="9" fillId="2" borderId="20" applyAlignment="1" pivotButton="0" quotePrefix="0" xfId="0">
      <alignment vertical="center" wrapText="1"/>
    </xf>
    <xf numFmtId="171" fontId="0" fillId="2" borderId="0" pivotButton="0" quotePrefix="0" xfId="0"/>
    <xf numFmtId="1" fontId="10" fillId="5" borderId="5" applyAlignment="1" pivotButton="0" quotePrefix="0" xfId="0">
      <alignment horizontal="center"/>
    </xf>
    <xf numFmtId="1" fontId="4" fillId="12" borderId="0" applyAlignment="1" pivotButton="0" quotePrefix="0" xfId="0">
      <alignment horizontal="center"/>
    </xf>
    <xf numFmtId="0" fontId="0" fillId="12" borderId="0" pivotButton="0" quotePrefix="0" xfId="0"/>
    <xf numFmtId="171" fontId="0" fillId="12" borderId="0" pivotButton="0" quotePrefix="0" xfId="0"/>
    <xf numFmtId="175" fontId="3" fillId="12" borderId="0" applyAlignment="1" pivotButton="0" quotePrefix="0" xfId="1">
      <alignment horizontal="center"/>
    </xf>
    <xf numFmtId="3" fontId="4" fillId="12" borderId="0" applyAlignment="1" pivotButton="0" quotePrefix="0" xfId="0">
      <alignment horizontal="center"/>
    </xf>
    <xf numFmtId="1" fontId="0" fillId="12" borderId="0" applyAlignment="1" pivotButton="0" quotePrefix="0" xfId="0">
      <alignment horizontal="center"/>
    </xf>
    <xf numFmtId="0" fontId="4" fillId="12" borderId="39" applyAlignment="1" pivotButton="0" quotePrefix="0" xfId="2">
      <alignment horizontal="center"/>
    </xf>
    <xf numFmtId="0" fontId="17" fillId="12" borderId="14" pivotButton="0" quotePrefix="0" xfId="0"/>
    <xf numFmtId="1" fontId="0" fillId="12" borderId="59" pivotButton="0" quotePrefix="0" xfId="0"/>
    <xf numFmtId="166" fontId="31" fillId="13" borderId="23" applyAlignment="1" pivotButton="0" quotePrefix="0" xfId="10">
      <alignment horizontal="center"/>
    </xf>
    <xf numFmtId="0" fontId="29" fillId="12" borderId="4" applyAlignment="1" pivotButton="0" quotePrefix="0" xfId="10">
      <alignment horizontal="center"/>
    </xf>
    <xf numFmtId="0" fontId="9" fillId="12" borderId="20" applyAlignment="1" pivotButton="0" quotePrefix="0" xfId="0">
      <alignment vertical="center" wrapText="1"/>
    </xf>
    <xf numFmtId="1" fontId="10" fillId="12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0" fontId="2" fillId="2" borderId="24" applyAlignment="1" pivotButton="0" quotePrefix="0" xfId="0">
      <alignment horizontal="center" vertical="center"/>
    </xf>
    <xf numFmtId="0" fontId="2" fillId="2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27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3" fillId="2" borderId="10" applyAlignment="1" pivotButton="0" quotePrefix="0" xfId="2">
      <alignment horizontal="center"/>
    </xf>
    <xf numFmtId="0" fontId="3" fillId="2" borderId="11" applyAlignment="1" pivotButton="0" quotePrefix="0" xfId="2">
      <alignment horizontal="center"/>
    </xf>
    <xf numFmtId="0" fontId="3" fillId="2" borderId="12" applyAlignment="1" pivotButton="0" quotePrefix="0" xfId="2">
      <alignment horizontal="center"/>
    </xf>
    <xf numFmtId="0" fontId="3" fillId="2" borderId="21" applyAlignment="1" pivotButton="0" quotePrefix="0" xfId="2">
      <alignment horizontal="center"/>
    </xf>
    <xf numFmtId="0" fontId="3" fillId="2" borderId="22" applyAlignment="1" pivotButton="0" quotePrefix="0" xfId="2">
      <alignment horizontal="center"/>
    </xf>
    <xf numFmtId="0" fontId="3" fillId="2" borderId="23" applyAlignment="1" pivotButton="0" quotePrefix="0" xfId="2">
      <alignment horizontal="center"/>
    </xf>
    <xf numFmtId="0" fontId="18" fillId="2" borderId="48" applyAlignment="1" pivotButton="0" quotePrefix="0" xfId="0">
      <alignment horizontal="center"/>
    </xf>
    <xf numFmtId="0" fontId="18" fillId="2" borderId="47" applyAlignment="1" pivotButton="0" quotePrefix="0" xfId="0">
      <alignment horizontal="center"/>
    </xf>
    <xf numFmtId="0" fontId="18" fillId="2" borderId="45" applyAlignment="1" pivotButton="0" quotePrefix="0" xfId="0">
      <alignment horizontal="center"/>
    </xf>
    <xf numFmtId="0" fontId="3" fillId="2" borderId="61" applyAlignment="1" pivotButton="0" quotePrefix="0" xfId="0">
      <alignment horizontal="center" vertical="center"/>
    </xf>
    <xf numFmtId="0" fontId="3" fillId="2" borderId="47" applyAlignment="1" pivotButton="0" quotePrefix="0" xfId="0">
      <alignment horizontal="center" vertical="center"/>
    </xf>
    <xf numFmtId="0" fontId="3" fillId="2" borderId="45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3" fillId="6" borderId="11" applyAlignment="1" pivotButton="0" quotePrefix="0" xfId="0">
      <alignment horizontal="center" vertical="center"/>
    </xf>
    <xf numFmtId="0" fontId="3" fillId="6" borderId="12" applyAlignment="1" pivotButton="0" quotePrefix="0" xfId="0">
      <alignment horizontal="center" vertical="center"/>
    </xf>
    <xf numFmtId="0" fontId="3" fillId="6" borderId="13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/>
    </xf>
    <xf numFmtId="0" fontId="3" fillId="6" borderId="17" applyAlignment="1" pivotButton="0" quotePrefix="0" xfId="0">
      <alignment horizontal="center" vertical="center"/>
    </xf>
    <xf numFmtId="0" fontId="24" fillId="6" borderId="21" applyAlignment="1" pivotButton="0" quotePrefix="0" xfId="0">
      <alignment horizontal="center"/>
    </xf>
    <xf numFmtId="0" fontId="24" fillId="6" borderId="22" applyAlignment="1" pivotButton="0" quotePrefix="0" xfId="0">
      <alignment horizontal="center"/>
    </xf>
    <xf numFmtId="0" fontId="24" fillId="6" borderId="23" applyAlignment="1" pivotButton="0" quotePrefix="0" xfId="0">
      <alignment horizontal="center"/>
    </xf>
    <xf numFmtId="0" fontId="3" fillId="6" borderId="21" applyAlignment="1" pivotButton="0" quotePrefix="0" xfId="0">
      <alignment horizontal="center"/>
    </xf>
    <xf numFmtId="0" fontId="3" fillId="6" borderId="22" applyAlignment="1" pivotButton="0" quotePrefix="0" xfId="0">
      <alignment horizontal="center"/>
    </xf>
    <xf numFmtId="0" fontId="3" fillId="6" borderId="23" applyAlignment="1" pivotButton="0" quotePrefix="0" xfId="0">
      <alignment horizontal="center"/>
    </xf>
    <xf numFmtId="0" fontId="31" fillId="2" borderId="14" applyAlignment="1" pivotButton="0" quotePrefix="0" xfId="10">
      <alignment horizontal="center"/>
    </xf>
    <xf numFmtId="0" fontId="2" fillId="2" borderId="57" applyAlignment="1" pivotButton="0" quotePrefix="0" xfId="0">
      <alignment horizontal="center" vertical="center"/>
    </xf>
    <xf numFmtId="0" fontId="0" fillId="0" borderId="28" pivotButton="0" quotePrefix="0" xfId="0"/>
    <xf numFmtId="0" fontId="2" fillId="2" borderId="41" applyAlignment="1" pivotButton="0" quotePrefix="0" xfId="0">
      <alignment horizontal="center" vertical="center"/>
    </xf>
    <xf numFmtId="0" fontId="0" fillId="0" borderId="29" pivotButton="0" quotePrefix="0" xfId="0"/>
    <xf numFmtId="164" fontId="4" fillId="5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2" borderId="4" pivotButton="0" quotePrefix="0" xfId="0"/>
    <xf numFmtId="164" fontId="4" fillId="0" borderId="0" applyAlignment="1" pivotButton="0" quotePrefix="0" xfId="0">
      <alignment horizontal="center"/>
    </xf>
    <xf numFmtId="164" fontId="4" fillId="0" borderId="0" pivotButton="0" quotePrefix="0" xfId="0"/>
    <xf numFmtId="164" fontId="0" fillId="2" borderId="0" applyAlignment="1" pivotButton="0" quotePrefix="0" xfId="0">
      <alignment horizontal="center"/>
    </xf>
    <xf numFmtId="171" fontId="0" fillId="2" borderId="0" pivotButton="0" quotePrefix="0" xfId="7"/>
    <xf numFmtId="170" fontId="0" fillId="2" borderId="0" pivotButton="0" quotePrefix="0" xfId="0"/>
    <xf numFmtId="171" fontId="0" fillId="12" borderId="0" pivotButton="0" quotePrefix="0" xfId="0"/>
    <xf numFmtId="171" fontId="0" fillId="2" borderId="0" pivotButton="0" quotePrefix="0" xfId="0"/>
    <xf numFmtId="164" fontId="0" fillId="0" borderId="0" applyAlignment="1" pivotButton="0" quotePrefix="0" xfId="0">
      <alignment horizontal="center"/>
    </xf>
    <xf numFmtId="164" fontId="10" fillId="2" borderId="0" applyAlignment="1" pivotButton="0" quotePrefix="0" xfId="0">
      <alignment horizontal="center"/>
    </xf>
    <xf numFmtId="164" fontId="4" fillId="0" borderId="0" applyAlignment="1" pivotButton="0" quotePrefix="0" xfId="8">
      <alignment horizontal="center"/>
    </xf>
    <xf numFmtId="164" fontId="0" fillId="9" borderId="0" applyAlignment="1" pivotButton="0" quotePrefix="0" xfId="0">
      <alignment horizontal="center"/>
    </xf>
    <xf numFmtId="164" fontId="23" fillId="7" borderId="0" applyAlignment="1" pivotButton="0" quotePrefix="0" xfId="9">
      <alignment horizont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2" borderId="49" applyAlignment="1" pivotButton="0" quotePrefix="0" xfId="2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3" fillId="2" borderId="59" applyAlignment="1" pivotButton="0" quotePrefix="0" xfId="2">
      <alignment horizontal="center"/>
    </xf>
    <xf numFmtId="0" fontId="0" fillId="0" borderId="22" pivotButton="0" quotePrefix="0" xfId="0"/>
    <xf numFmtId="0" fontId="0" fillId="0" borderId="23" pivotButton="0" quotePrefix="0" xfId="0"/>
    <xf numFmtId="0" fontId="3" fillId="2" borderId="65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5" pivotButton="0" quotePrefix="0" xfId="0"/>
    <xf numFmtId="0" fontId="18" fillId="2" borderId="64" applyAlignment="1" pivotButton="0" quotePrefix="0" xfId="0">
      <alignment horizontal="center"/>
    </xf>
    <xf numFmtId="0" fontId="3" fillId="6" borderId="5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24" fillId="6" borderId="59" applyAlignment="1" pivotButton="0" quotePrefix="0" xfId="0">
      <alignment horizontal="center"/>
    </xf>
    <xf numFmtId="0" fontId="3" fillId="6" borderId="59" applyAlignment="1" pivotButton="0" quotePrefix="0" xfId="0">
      <alignment horizontal="center"/>
    </xf>
    <xf numFmtId="166" fontId="29" fillId="5" borderId="0" pivotButton="0" quotePrefix="0" xfId="10"/>
    <xf numFmtId="167" fontId="29" fillId="5" borderId="0" pivotButton="0" quotePrefix="0" xfId="10"/>
    <xf numFmtId="167" fontId="29" fillId="5" borderId="16" pivotButton="0" quotePrefix="0" xfId="10"/>
    <xf numFmtId="166" fontId="30" fillId="2" borderId="0" applyAlignment="1" pivotButton="0" quotePrefix="0" xfId="10">
      <alignment horizontal="center"/>
    </xf>
    <xf numFmtId="166" fontId="29" fillId="2" borderId="12" applyAlignment="1" pivotButton="0" quotePrefix="0" xfId="10">
      <alignment horizontal="center"/>
    </xf>
    <xf numFmtId="167" fontId="30" fillId="2" borderId="0" applyAlignment="1" pivotButton="0" quotePrefix="0" xfId="10">
      <alignment horizontal="center"/>
    </xf>
    <xf numFmtId="167" fontId="29" fillId="2" borderId="12" applyAlignment="1" pivotButton="0" quotePrefix="0" xfId="10">
      <alignment horizontal="center"/>
    </xf>
    <xf numFmtId="166" fontId="29" fillId="2" borderId="22" pivotButton="0" quotePrefix="0" xfId="10"/>
    <xf numFmtId="167" fontId="29" fillId="2" borderId="22" pivotButton="0" quotePrefix="0" xfId="10"/>
    <xf numFmtId="167" fontId="29" fillId="2" borderId="23" pivotButton="0" quotePrefix="0" xfId="10"/>
    <xf numFmtId="166" fontId="31" fillId="13" borderId="23" applyAlignment="1" pivotButton="0" quotePrefix="0" xfId="10">
      <alignment horizontal="center"/>
    </xf>
    <xf numFmtId="166" fontId="29" fillId="0" borderId="0" pivotButton="0" quotePrefix="0" xfId="10"/>
    <xf numFmtId="167" fontId="29" fillId="0" borderId="0" pivotButton="0" quotePrefix="0" xfId="10"/>
    <xf numFmtId="167" fontId="29" fillId="0" borderId="0" applyAlignment="1" pivotButton="0" quotePrefix="0" xfId="10">
      <alignment horizontal="center"/>
    </xf>
    <xf numFmtId="164" fontId="29" fillId="0" borderId="0" pivotButton="0" quotePrefix="0" xfId="10"/>
    <xf numFmtId="168" fontId="32" fillId="2" borderId="0" pivotButton="0" quotePrefix="0" xfId="0"/>
    <xf numFmtId="169" fontId="0" fillId="2" borderId="0" pivotButton="0" quotePrefix="0" xfId="0"/>
    <xf numFmtId="169" fontId="20" fillId="2" borderId="0" pivotButton="0" quotePrefix="0" xfId="0"/>
    <xf numFmtId="168" fontId="0" fillId="2" borderId="0" pivotButton="0" quotePrefix="0" xfId="0"/>
    <xf numFmtId="168" fontId="20" fillId="2" borderId="0" pivotButton="0" quotePrefix="0" xfId="0"/>
    <xf numFmtId="165" fontId="4" fillId="0" borderId="0" applyAlignment="1" pivotButton="0" quotePrefix="0" xfId="0">
      <alignment horizontal="center"/>
    </xf>
    <xf numFmtId="172" fontId="9" fillId="0" borderId="0" pivotButton="0" quotePrefix="0" xfId="0"/>
    <xf numFmtId="173" fontId="9" fillId="0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74" fontId="9" fillId="0" borderId="0" applyAlignment="1" pivotButton="0" quotePrefix="0" xfId="0">
      <alignment horizontal="center"/>
    </xf>
  </cellXfs>
  <cellStyles count="11">
    <cellStyle name="Normal" xfId="0" builtinId="0"/>
    <cellStyle name="Percent" xfId="1" builtinId="5"/>
    <cellStyle name="Normal 3" xfId="2"/>
    <cellStyle name="Percent 2" xfId="3"/>
    <cellStyle name="Comma 3" xfId="4"/>
    <cellStyle name="Comma 2" xfId="5"/>
    <cellStyle name="Currency" xfId="6" builtinId="4"/>
    <cellStyle name="Comma" xfId="7" builtinId="3"/>
    <cellStyle name="Neutral 2" xfId="8"/>
    <cellStyle name="Good 2" xfId="9"/>
    <cellStyle name="Normal_Fig12-15" xfId="1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5</col>
      <colOff>606459</colOff>
      <row>12</row>
      <rowOff>64244</rowOff>
    </from>
    <to>
      <col>16</col>
      <colOff>156648</colOff>
      <row>31</row>
      <rowOff>15389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0848" y="2252967"/>
          <a:ext cx="6683806" cy="34166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Uni/Documents/OM/Master%20Solution/M1-M3_all_solutions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/Users/Uni/Documents/OM/Master%20Solution/M1-M3_all_solutions.xlsx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universitaetstgallen.sharepoint.com/F:/Mgmt%20Science/Simulation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d.docs.live.net/F:/Mgmt%20Science/Simulation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F:/Mgmt%20Science/Simulation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/Users/maxma/Documents/OM/Master%20Solution/HS24/Modul_4_Musterl&#246;sung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lausur M3-1"/>
      <sheetName val="Klausur M3-2"/>
      <sheetName val="Klausur M3-3"/>
      <sheetName val="Klausur M4.1"/>
      <sheetName val="Klausur M4.2"/>
      <sheetName val="Klausur M4.3"/>
      <sheetName val="1.1.d - MFE"/>
      <sheetName val="1.1.d - Solution"/>
      <sheetName val="1.2.b - MA"/>
      <sheetName val="1.2.b - Solution"/>
      <sheetName val="1.2.c - WMA"/>
      <sheetName val="1.2.c - Solution"/>
      <sheetName val="1.2.d - ExSm"/>
      <sheetName val="1.2.d - Solution"/>
      <sheetName val="1.3.a - LTA"/>
      <sheetName val="1.3.a - Solution"/>
      <sheetName val="1.3.b - SA"/>
      <sheetName val="1.3.b - Solution"/>
      <sheetName val="1.4.d - Decomp"/>
      <sheetName val="1.4.d - Solution"/>
      <sheetName val="M2"/>
      <sheetName val="2.1.d - ABC"/>
      <sheetName val="2.1.d - Solution"/>
      <sheetName val="2.2.b - EOQ Solution"/>
      <sheetName val="2.3.a - EPQ Solution"/>
      <sheetName val="2.3.b - QDM Solution"/>
      <sheetName val="2.4.b - SS Solution"/>
      <sheetName val="2.4.c DNM Solution"/>
      <sheetName val="2.5.b - NM SL Solution"/>
      <sheetName val="2.6.b - POM TIL"/>
      <sheetName val="2.6.b - Solution"/>
      <sheetName val="M3"/>
      <sheetName val="3.2.a - AP"/>
      <sheetName val="3.2.a - Solution"/>
      <sheetName val="HS23"/>
      <sheetName val="3.2.e - OM"/>
      <sheetName val="3.2.e - Solution"/>
      <sheetName val="3.4.b - SP"/>
      <sheetName val="3.4.b - Solution"/>
      <sheetName val="3.4.c - TP"/>
      <sheetName val="3.4.c - Solution"/>
      <sheetName val="3.4.d - DP"/>
      <sheetName val="3.4.d - Solution"/>
      <sheetName val="M4"/>
      <sheetName val="4.2.b - WPP"/>
      <sheetName val="4.2.b - Solution"/>
      <sheetName val="4.2.c - PP"/>
      <sheetName val="4.2.c - Solution"/>
      <sheetName val="4.3.b - BW"/>
      <sheetName val="4.3.b - Solution"/>
      <sheetName val="4.4.b - RN"/>
      <sheetName val="4.4.b - Solution"/>
      <sheetName val="4.5.b - BCI"/>
      <sheetName val="4.5.b - Solution"/>
      <sheetName val="4.5.c - BDS"/>
      <sheetName val="Sheet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.1.d - MFE"/>
      <sheetName val="1.1.d - Solution"/>
      <sheetName val="1.2.b - MA"/>
      <sheetName val="1.2.b - Solution"/>
      <sheetName val="1.2.c - WMA"/>
      <sheetName val="1.2.c - Solution"/>
      <sheetName val="1.2.d - ExSm"/>
      <sheetName val="1.2.d - Solution"/>
      <sheetName val="1.3.a - LTA"/>
      <sheetName val="1.3.a - Solution"/>
      <sheetName val="1.3.b - SA"/>
      <sheetName val="1.3.b - Solution"/>
      <sheetName val="1.4.d - Decomp"/>
      <sheetName val="1.4.d - Solution"/>
      <sheetName val="M2"/>
      <sheetName val="2.1.d - ABC"/>
      <sheetName val="2.1.d - Solution"/>
      <sheetName val="2.2.b - EOQ Solution"/>
      <sheetName val="2.3.a - EPQ Solution"/>
      <sheetName val="2.3.b - QDM Solution"/>
      <sheetName val="2.4.b - SS Solution"/>
      <sheetName val="2.4.c DNM Solution"/>
      <sheetName val="2.5.b - NM SL Solution"/>
      <sheetName val="2.6.b - POM TIL"/>
      <sheetName val="2.6.b - Solution"/>
      <sheetName val="M3"/>
      <sheetName val="3.2.a - AP"/>
      <sheetName val="3.2.a - Solution"/>
      <sheetName val="HS23"/>
      <sheetName val="3.2.e - OM"/>
      <sheetName val="3.2.e - Solution"/>
      <sheetName val="3.4.b - SP"/>
      <sheetName val="3.4.b - Solution"/>
      <sheetName val="3.4.c - TP"/>
      <sheetName val="3.4.c - Solution"/>
      <sheetName val="3.4.d - DP"/>
      <sheetName val="3.4.d - Solution"/>
      <sheetName val="M4"/>
      <sheetName val="4.2.b - WPP"/>
      <sheetName val="4.2.b - Solution"/>
      <sheetName val="4.2.c - PP"/>
      <sheetName val="4.2.c - Solution"/>
      <sheetName val="4.3.b - BW"/>
      <sheetName val="4.3.b - Solution"/>
      <sheetName val="4.4.b - RN"/>
      <sheetName val="4.4.b - Solution"/>
      <sheetName val="4.5.b - BCI"/>
      <sheetName val="4.5.b - Solution"/>
      <sheetName val="4.5.c - BDS"/>
      <sheetName val="Sheet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E4">
            <v>3</v>
          </cell>
        </row>
        <row r="7">
          <cell r="E7">
            <v>3.5</v>
          </cell>
        </row>
        <row r="8">
          <cell r="E8">
            <v>30</v>
          </cell>
        </row>
        <row r="9">
          <cell r="E9">
            <v>0.89552238805970152</v>
          </cell>
        </row>
        <row r="10">
          <cell r="E10">
            <v>1.2564434852902648</v>
          </cell>
        </row>
        <row r="11">
          <cell r="E11">
            <v>0.18118011190987446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Random"/>
      <sheetName val="HD"/>
      <sheetName val="PC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Random"/>
      <sheetName val="HD"/>
      <sheetName val="PC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Random"/>
      <sheetName val="HD"/>
      <sheetName val="PC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4.2.c - Pp"/>
      <sheetName val="4.2.c - Sol"/>
      <sheetName val="4.3.b - Bw"/>
      <sheetName val="4.3.b - Sol"/>
      <sheetName val="4.4.a - Sim"/>
      <sheetName val="4.4.a - Sol"/>
      <sheetName val="4.4.b - SCM"/>
      <sheetName val="4.4.b - Sol"/>
      <sheetName val="4.4.c - Sim SC"/>
      <sheetName val="4.4.c - Sol"/>
      <sheetName val="4.4.d - SCM O"/>
      <sheetName val="4.4.d - Sol"/>
      <sheetName val="4.4.d - Sol SS"/>
      <sheetName val="4.5.b - BCI"/>
      <sheetName val="4.5.b - Sol"/>
      <sheetName val="4.5.c - BDS"/>
      <sheetName val="4.5.c - Sol"/>
      <sheetName val="4.5.d - BIS"/>
      <sheetName val="4.5.d - S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4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baseColWidth="10" defaultColWidth="9" defaultRowHeight="15"/>
  <cols>
    <col width="3.1640625" customWidth="1" style="348" min="1" max="1"/>
    <col width="4.1640625" customWidth="1" min="2" max="2"/>
    <col width="7.33203125" customWidth="1" min="3" max="3"/>
    <col width="9.83203125" customWidth="1" min="4" max="4"/>
    <col width="15.33203125" customWidth="1" min="5" max="5"/>
    <col width="22.6640625" customWidth="1" min="6" max="6"/>
    <col width="28.6640625" customWidth="1" min="7" max="7"/>
    <col width="9" customWidth="1" min="8" max="8"/>
    <col width="19.33203125" customWidth="1" min="9" max="9"/>
    <col width="9" customWidth="1" min="10" max="10"/>
  </cols>
  <sheetData>
    <row r="1" ht="15" customFormat="1" customHeight="1" s="348">
      <c r="C1" s="349" t="n"/>
      <c r="D1" s="349" t="n"/>
      <c r="E1" s="349" t="n"/>
      <c r="F1" s="349" t="n"/>
      <c r="G1" s="349" t="n"/>
      <c r="H1" s="350" t="n"/>
      <c r="I1" s="350" t="n"/>
      <c r="J1" s="350" t="n"/>
      <c r="K1" s="350" t="n"/>
    </row>
    <row r="2">
      <c r="B2" s="17" t="n"/>
      <c r="C2" s="1" t="n"/>
      <c r="D2" s="1" t="n"/>
      <c r="E2" s="2" t="n"/>
      <c r="F2" s="438" t="n"/>
      <c r="G2" s="1" t="n"/>
      <c r="H2" s="1" t="n"/>
      <c r="I2" s="1" t="n"/>
      <c r="J2" s="1" t="n"/>
      <c r="K2" s="1" t="n"/>
      <c r="L2" s="17" t="n"/>
      <c r="M2" s="17" t="n"/>
      <c r="N2" s="17" t="n"/>
    </row>
    <row r="3">
      <c r="B3" s="17" t="n"/>
      <c r="C3" s="1" t="n"/>
      <c r="D3" s="1" t="n"/>
      <c r="E3" s="1" t="n"/>
      <c r="F3" s="438" t="n"/>
      <c r="G3" s="57" t="n"/>
      <c r="H3" s="1" t="n"/>
      <c r="I3" s="17" t="n"/>
      <c r="J3" s="1" t="n"/>
      <c r="K3" s="1" t="n"/>
      <c r="L3" s="17" t="n"/>
      <c r="M3" s="17" t="n"/>
      <c r="N3" s="17" t="n"/>
    </row>
    <row r="4" ht="16" customHeight="1" thickBot="1">
      <c r="B4" s="17" t="n"/>
      <c r="C4" s="7" t="inlineStr">
        <is>
          <t>Year</t>
        </is>
      </c>
      <c r="D4" s="7" t="inlineStr">
        <is>
          <t>Period</t>
        </is>
      </c>
      <c r="E4" s="7" t="inlineStr">
        <is>
          <t>Usage</t>
        </is>
      </c>
      <c r="F4" s="7" t="inlineStr">
        <is>
          <t>Forecast (WMA)</t>
        </is>
      </c>
      <c r="G4" s="7" t="inlineStr">
        <is>
          <t>Absolute % error</t>
        </is>
      </c>
      <c r="H4" s="17" t="n"/>
      <c r="I4" s="7" t="inlineStr">
        <is>
          <t>Period</t>
        </is>
      </c>
      <c r="J4" s="334" t="inlineStr">
        <is>
          <t>Weight</t>
        </is>
      </c>
      <c r="K4" s="1" t="n"/>
      <c r="L4" s="466" t="inlineStr">
        <is>
          <t>Option 1</t>
        </is>
      </c>
      <c r="M4" s="467" t="n"/>
      <c r="N4" s="17" t="n"/>
    </row>
    <row r="5">
      <c r="B5" s="17" t="n"/>
      <c r="C5" s="438" t="n">
        <v>1</v>
      </c>
      <c r="D5" s="438" t="inlineStr">
        <is>
          <t>Jan</t>
        </is>
      </c>
      <c r="E5" s="21" t="n">
        <v>130</v>
      </c>
      <c r="F5" s="55" t="n"/>
      <c r="G5" s="87" t="n"/>
      <c r="H5" s="17" t="n"/>
      <c r="I5" s="439" t="inlineStr">
        <is>
          <t>t-1</t>
        </is>
      </c>
      <c r="J5" s="39" t="n">
        <v>0.1</v>
      </c>
      <c r="K5" s="17" t="n"/>
      <c r="L5" s="38" t="inlineStr">
        <is>
          <t>t-1</t>
        </is>
      </c>
      <c r="M5" s="39" t="n">
        <v>0.1</v>
      </c>
      <c r="N5" s="17" t="n"/>
    </row>
    <row r="6">
      <c r="B6" s="17" t="n"/>
      <c r="C6" s="438" t="n"/>
      <c r="D6" s="438" t="inlineStr">
        <is>
          <t>Feb</t>
        </is>
      </c>
      <c r="E6" s="21" t="n">
        <v>127</v>
      </c>
      <c r="F6" s="88" t="n"/>
      <c r="G6" s="87" t="n"/>
      <c r="H6" s="17" t="n"/>
      <c r="I6" s="439" t="inlineStr">
        <is>
          <t>t-3</t>
        </is>
      </c>
      <c r="J6" s="39" t="n">
        <v>0.15</v>
      </c>
      <c r="K6" s="17" t="n"/>
      <c r="L6" s="38" t="inlineStr">
        <is>
          <t>t-3</t>
        </is>
      </c>
      <c r="M6" s="39" t="n">
        <v>0.15</v>
      </c>
      <c r="N6" s="17" t="n"/>
    </row>
    <row r="7">
      <c r="B7" s="17" t="n"/>
      <c r="C7" s="438" t="n"/>
      <c r="D7" s="438" t="inlineStr">
        <is>
          <t>Mar</t>
        </is>
      </c>
      <c r="E7" s="21" t="n">
        <v>132</v>
      </c>
      <c r="F7" s="88" t="n"/>
      <c r="G7" s="87" t="n"/>
      <c r="H7" s="17" t="n"/>
      <c r="I7" s="440" t="inlineStr">
        <is>
          <t>t-5</t>
        </is>
      </c>
      <c r="J7" s="39" t="n">
        <v>0.75</v>
      </c>
      <c r="K7" s="17" t="n"/>
      <c r="L7" s="38" t="inlineStr">
        <is>
          <t>t-5</t>
        </is>
      </c>
      <c r="M7" s="39" t="n">
        <v>0.75</v>
      </c>
      <c r="N7" s="17" t="n"/>
    </row>
    <row r="8" ht="14.75" customHeight="1">
      <c r="B8" s="17" t="n"/>
      <c r="C8" s="438" t="n"/>
      <c r="D8" s="438" t="inlineStr">
        <is>
          <t>Apr</t>
        </is>
      </c>
      <c r="E8" s="21" t="n">
        <v>151</v>
      </c>
      <c r="F8" s="88" t="n"/>
      <c r="G8" s="87" t="n"/>
      <c r="H8" s="17" t="n"/>
      <c r="I8" s="439" t="inlineStr">
        <is>
          <t>Sum of weights</t>
        </is>
      </c>
      <c r="J8" s="439">
        <f>SUM(J5:J7)</f>
        <v/>
      </c>
      <c r="K8" s="17" t="n"/>
      <c r="L8" s="38" t="inlineStr">
        <is>
          <t>Sum</t>
        </is>
      </c>
      <c r="M8" s="39">
        <f>SUM(M5:M7)</f>
        <v/>
      </c>
      <c r="N8" s="17" t="n"/>
    </row>
    <row r="9" ht="16" customHeight="1" thickBot="1">
      <c r="B9" s="17" t="n"/>
      <c r="C9" s="438" t="n"/>
      <c r="D9" s="438" t="inlineStr">
        <is>
          <t>May</t>
        </is>
      </c>
      <c r="E9" s="21" t="n">
        <v>167</v>
      </c>
      <c r="F9" s="88" t="n"/>
      <c r="G9" s="87" t="n"/>
      <c r="H9" s="1" t="n"/>
      <c r="I9" s="17" t="n"/>
      <c r="J9" s="1" t="n"/>
      <c r="K9" s="17" t="n"/>
      <c r="L9" s="468" t="n"/>
      <c r="M9" s="469" t="n"/>
      <c r="N9" s="17" t="n"/>
    </row>
    <row r="10" ht="16" customHeight="1" thickBot="1">
      <c r="B10" s="17" t="n"/>
      <c r="C10" s="438" t="n"/>
      <c r="D10" s="438" t="inlineStr">
        <is>
          <t>Jun</t>
        </is>
      </c>
      <c r="E10" s="21" t="n">
        <v>162</v>
      </c>
      <c r="F10" s="470" t="n"/>
      <c r="G10" s="90" t="n"/>
      <c r="H10" s="17" t="n"/>
      <c r="I10" s="17" t="n"/>
      <c r="J10" s="17" t="n"/>
      <c r="K10" s="17" t="n"/>
      <c r="L10" s="468" t="inlineStr">
        <is>
          <t>Option 2</t>
        </is>
      </c>
      <c r="M10" s="469" t="n"/>
      <c r="N10" s="17" t="n"/>
    </row>
    <row r="11" ht="14.75" customHeight="1">
      <c r="B11" s="17" t="n"/>
      <c r="C11" s="438" t="n"/>
      <c r="D11" s="438" t="inlineStr">
        <is>
          <t>Jul</t>
        </is>
      </c>
      <c r="E11" s="21" t="n">
        <v>133</v>
      </c>
      <c r="F11" s="470" t="n"/>
      <c r="G11" s="90" t="n"/>
      <c r="H11" s="1" t="n"/>
      <c r="I11" s="1" t="n"/>
      <c r="J11" s="17" t="n"/>
      <c r="K11" s="17" t="n"/>
      <c r="L11" s="38" t="inlineStr">
        <is>
          <t>t-1</t>
        </is>
      </c>
      <c r="M11" s="39" t="n">
        <v>0.75</v>
      </c>
      <c r="N11" s="17" t="n"/>
    </row>
    <row r="12" ht="14.75" customHeight="1">
      <c r="B12" s="17" t="n"/>
      <c r="C12" s="438" t="n"/>
      <c r="D12" s="438" t="inlineStr">
        <is>
          <t>Aug</t>
        </is>
      </c>
      <c r="E12" s="21" t="n">
        <v>144</v>
      </c>
      <c r="F12" s="470" t="n"/>
      <c r="G12" s="90" t="n"/>
      <c r="H12" s="1" t="n"/>
      <c r="I12" s="17" t="n"/>
      <c r="J12" s="17" t="n"/>
      <c r="K12" s="1" t="n"/>
      <c r="L12" s="38" t="inlineStr">
        <is>
          <t>t-3</t>
        </is>
      </c>
      <c r="M12" s="39" t="n">
        <v>0.15</v>
      </c>
      <c r="N12" s="17" t="n"/>
    </row>
    <row r="13">
      <c r="B13" s="17" t="n"/>
      <c r="C13" s="438" t="n"/>
      <c r="D13" s="438" t="inlineStr">
        <is>
          <t>Sep</t>
        </is>
      </c>
      <c r="E13" s="21" t="n">
        <v>149</v>
      </c>
      <c r="F13" s="470" t="n"/>
      <c r="G13" s="90" t="n"/>
      <c r="H13" s="1" t="n"/>
      <c r="I13" s="17" t="n"/>
      <c r="J13" s="17" t="n"/>
      <c r="K13" s="1" t="n"/>
      <c r="L13" s="38" t="inlineStr">
        <is>
          <t>t-5</t>
        </is>
      </c>
      <c r="M13" s="39" t="n">
        <v>0.1</v>
      </c>
      <c r="N13" s="17" t="n"/>
    </row>
    <row r="14">
      <c r="B14" s="17" t="n"/>
      <c r="C14" s="438" t="n"/>
      <c r="D14" s="438" t="inlineStr">
        <is>
          <t>Oct</t>
        </is>
      </c>
      <c r="E14" s="21" t="n">
        <v>166</v>
      </c>
      <c r="F14" s="470" t="n"/>
      <c r="G14" s="90" t="n"/>
      <c r="H14" s="1" t="n"/>
      <c r="I14" s="17" t="n"/>
      <c r="J14" s="17" t="n"/>
      <c r="K14" s="1" t="n"/>
      <c r="L14" s="38" t="inlineStr">
        <is>
          <t>Sum</t>
        </is>
      </c>
      <c r="M14" s="39">
        <f>SUM(M11:M13)</f>
        <v/>
      </c>
      <c r="N14" s="17" t="n"/>
    </row>
    <row r="15" ht="16" customHeight="1" thickBot="1">
      <c r="B15" s="17" t="n"/>
      <c r="C15" s="438" t="n"/>
      <c r="D15" s="438" t="inlineStr">
        <is>
          <t>Nov</t>
        </is>
      </c>
      <c r="E15" s="21" t="n">
        <v>178</v>
      </c>
      <c r="F15" s="470" t="n"/>
      <c r="G15" s="90" t="n"/>
      <c r="H15" s="1" t="n"/>
      <c r="I15" s="17" t="n"/>
      <c r="J15" s="17" t="n"/>
      <c r="K15" s="1" t="n"/>
      <c r="L15" s="468" t="n"/>
      <c r="M15" s="469" t="n"/>
      <c r="N15" s="17" t="n"/>
      <c r="O15" s="437" t="n"/>
      <c r="Q15" s="36" t="n"/>
      <c r="R15" s="434" t="n"/>
      <c r="T15" s="36" t="n"/>
      <c r="U15" s="434" t="n"/>
    </row>
    <row r="16" ht="16" customHeight="1" thickBot="1">
      <c r="B16" s="17" t="n"/>
      <c r="C16" s="7" t="n"/>
      <c r="D16" s="7" t="inlineStr">
        <is>
          <t>Dec</t>
        </is>
      </c>
      <c r="E16" s="23" t="n">
        <v>190</v>
      </c>
      <c r="F16" s="470" t="n"/>
      <c r="G16" s="90" t="n"/>
      <c r="H16" s="1" t="n"/>
      <c r="I16" s="17" t="n"/>
      <c r="J16" s="17" t="n"/>
      <c r="K16" s="17" t="n"/>
      <c r="L16" s="468" t="inlineStr">
        <is>
          <t>Option 3</t>
        </is>
      </c>
      <c r="M16" s="469" t="n"/>
      <c r="N16" s="1" t="n"/>
      <c r="O16" s="37" t="n"/>
      <c r="P16" s="37" t="n"/>
      <c r="Q16" s="36" t="n"/>
      <c r="R16" s="36" t="n"/>
      <c r="S16" s="36" t="n"/>
      <c r="T16" s="36" t="n"/>
      <c r="U16" s="36" t="n"/>
      <c r="V16" s="36" t="n"/>
    </row>
    <row r="17">
      <c r="B17" s="17" t="n"/>
      <c r="C17" s="438" t="n">
        <v>2</v>
      </c>
      <c r="D17" s="438" t="inlineStr">
        <is>
          <t>Jan</t>
        </is>
      </c>
      <c r="E17" s="21" t="n">
        <v>138</v>
      </c>
      <c r="F17" s="470" t="n"/>
      <c r="G17" s="90" t="n"/>
      <c r="H17" s="1" t="n"/>
      <c r="I17" s="17" t="n"/>
      <c r="J17" s="17" t="n"/>
      <c r="K17" s="1" t="n"/>
      <c r="L17" s="38" t="inlineStr">
        <is>
          <t>t-1</t>
        </is>
      </c>
      <c r="M17" s="39" t="n">
        <v>0.3</v>
      </c>
      <c r="N17" s="17" t="n"/>
      <c r="O17" s="37" t="n"/>
      <c r="P17" s="37" t="n"/>
      <c r="Q17" s="36" t="n"/>
      <c r="R17" s="36" t="n"/>
      <c r="S17" s="36" t="n"/>
      <c r="T17" s="36" t="n"/>
      <c r="U17" s="36" t="n"/>
      <c r="V17" s="36" t="n"/>
    </row>
    <row r="18" ht="14.75" customHeight="1">
      <c r="B18" s="17" t="n"/>
      <c r="C18" s="438" t="n"/>
      <c r="D18" s="438" t="inlineStr">
        <is>
          <t>Feb</t>
        </is>
      </c>
      <c r="E18" s="21" t="n">
        <v>156</v>
      </c>
      <c r="F18" s="470" t="n"/>
      <c r="G18" s="90" t="n"/>
      <c r="H18" s="1" t="n"/>
      <c r="I18" s="17" t="n"/>
      <c r="J18" s="17" t="n"/>
      <c r="K18" s="1" t="n"/>
      <c r="L18" s="38" t="inlineStr">
        <is>
          <t>t-3</t>
        </is>
      </c>
      <c r="M18" s="39" t="n">
        <v>0.3</v>
      </c>
      <c r="N18" s="1" t="n"/>
      <c r="O18" s="37" t="n"/>
      <c r="P18" s="37" t="n"/>
      <c r="Q18" s="36" t="n"/>
      <c r="R18" s="36" t="n"/>
      <c r="S18" s="36" t="n"/>
      <c r="T18" s="36" t="n"/>
      <c r="U18" s="36" t="n"/>
      <c r="V18" s="36" t="n"/>
    </row>
    <row r="19">
      <c r="B19" s="17" t="n"/>
      <c r="C19" s="438" t="n"/>
      <c r="D19" s="438" t="inlineStr">
        <is>
          <t>Mar</t>
        </is>
      </c>
      <c r="E19" s="21" t="n">
        <v>157</v>
      </c>
      <c r="F19" s="470" t="n"/>
      <c r="G19" s="90" t="n"/>
      <c r="H19" s="1" t="n"/>
      <c r="I19" s="17" t="n"/>
      <c r="J19" s="17" t="n"/>
      <c r="K19" s="1" t="n"/>
      <c r="L19" s="38" t="inlineStr">
        <is>
          <t>t-5</t>
        </is>
      </c>
      <c r="M19" s="39" t="n">
        <v>0.4</v>
      </c>
      <c r="N19" s="1" t="n"/>
      <c r="O19" s="37" t="n"/>
      <c r="P19" s="37" t="n"/>
      <c r="Q19" s="36" t="n"/>
      <c r="R19" s="36" t="n"/>
      <c r="S19" s="36" t="n"/>
      <c r="T19" s="36" t="n"/>
      <c r="U19" s="36" t="n"/>
      <c r="V19" s="36" t="n"/>
    </row>
    <row r="20">
      <c r="B20" s="17" t="n"/>
      <c r="C20" s="438" t="n"/>
      <c r="D20" s="438" t="inlineStr">
        <is>
          <t>Apr</t>
        </is>
      </c>
      <c r="E20" s="21" t="n">
        <v>163</v>
      </c>
      <c r="F20" s="470" t="n"/>
      <c r="G20" s="90" t="n"/>
      <c r="H20" s="1" t="n"/>
      <c r="I20" s="17" t="n"/>
      <c r="J20" s="17" t="n"/>
      <c r="K20" s="1" t="n"/>
      <c r="L20" s="83" t="inlineStr">
        <is>
          <t>Sum</t>
        </is>
      </c>
      <c r="M20" s="84">
        <f>SUM(M17:M19)</f>
        <v/>
      </c>
      <c r="N20" s="1" t="n"/>
      <c r="O20" s="37" t="n"/>
      <c r="P20" s="37" t="n"/>
      <c r="Q20" s="36" t="n"/>
      <c r="R20" s="36" t="n"/>
      <c r="S20" s="36" t="n"/>
      <c r="T20" s="36" t="n"/>
      <c r="U20" s="36" t="n"/>
      <c r="V20" s="36" t="n"/>
    </row>
    <row r="21">
      <c r="B21" s="17" t="n"/>
      <c r="C21" s="438" t="n"/>
      <c r="D21" s="438" t="inlineStr">
        <is>
          <t>May</t>
        </is>
      </c>
      <c r="E21" s="21" t="n">
        <v>183</v>
      </c>
      <c r="F21" s="470" t="n"/>
      <c r="G21" s="90" t="n"/>
      <c r="H21" s="1" t="n"/>
      <c r="I21" s="17" t="n"/>
      <c r="J21" s="17" t="n"/>
      <c r="K21" s="1" t="n"/>
      <c r="L21" s="17" t="n"/>
      <c r="M21" s="17" t="n"/>
      <c r="N21" s="1" t="n"/>
    </row>
    <row r="22" ht="14.75" customHeight="1">
      <c r="B22" s="17" t="n"/>
      <c r="C22" s="438" t="n"/>
      <c r="D22" s="438" t="inlineStr">
        <is>
          <t>Jun</t>
        </is>
      </c>
      <c r="E22" s="21" t="n">
        <v>196</v>
      </c>
      <c r="F22" s="470" t="n"/>
      <c r="G22" s="90" t="n"/>
      <c r="H22" s="1" t="n"/>
      <c r="I22" s="17" t="n"/>
      <c r="J22" s="17" t="n"/>
      <c r="K22" s="1" t="n"/>
      <c r="L22" s="17" t="n"/>
      <c r="M22" s="17" t="n"/>
      <c r="N22" s="1" t="n"/>
    </row>
    <row r="23">
      <c r="B23" s="17" t="n"/>
      <c r="C23" s="438" t="n"/>
      <c r="D23" s="438" t="inlineStr">
        <is>
          <t>Jul</t>
        </is>
      </c>
      <c r="E23" s="21" t="n">
        <v>159</v>
      </c>
      <c r="F23" s="470" t="n"/>
      <c r="G23" s="90" t="n"/>
      <c r="H23" s="1" t="n"/>
      <c r="I23" s="17" t="n"/>
      <c r="J23" s="17" t="n"/>
      <c r="K23" s="1" t="n"/>
      <c r="L23" s="17" t="n"/>
      <c r="M23" s="17" t="n"/>
      <c r="N23" s="1" t="n"/>
    </row>
    <row r="24">
      <c r="B24" s="17" t="n"/>
      <c r="C24" s="438" t="n"/>
      <c r="D24" s="438" t="inlineStr">
        <is>
          <t>Aug</t>
        </is>
      </c>
      <c r="E24" s="21" t="n">
        <v>166</v>
      </c>
      <c r="F24" s="470" t="n"/>
      <c r="G24" s="90" t="n"/>
      <c r="H24" s="1" t="n"/>
      <c r="I24" s="17" t="n"/>
      <c r="J24" s="17" t="n"/>
      <c r="K24" s="1" t="n"/>
      <c r="L24" s="17" t="n"/>
      <c r="M24" s="17" t="n"/>
      <c r="N24" s="17" t="n"/>
    </row>
    <row r="25">
      <c r="B25" s="17" t="n"/>
      <c r="C25" s="438" t="n"/>
      <c r="D25" s="438" t="inlineStr">
        <is>
          <t>Sep</t>
        </is>
      </c>
      <c r="E25" s="21" t="n">
        <v>171</v>
      </c>
      <c r="F25" s="470" t="n"/>
      <c r="G25" s="90" t="n"/>
      <c r="H25" s="1" t="n"/>
      <c r="I25" s="17" t="n"/>
      <c r="J25" s="17" t="n"/>
      <c r="K25" s="1" t="n"/>
      <c r="L25" s="17" t="n"/>
      <c r="M25" s="17" t="n"/>
      <c r="N25" s="17" t="n"/>
    </row>
    <row r="26">
      <c r="B26" s="17" t="n"/>
      <c r="C26" s="438" t="n"/>
      <c r="D26" s="438" t="inlineStr">
        <is>
          <t>Oct</t>
        </is>
      </c>
      <c r="E26" s="21" t="n">
        <v>190</v>
      </c>
      <c r="F26" s="470" t="n"/>
      <c r="G26" s="90" t="n"/>
      <c r="H26" s="1" t="n"/>
      <c r="I26" s="17" t="n"/>
      <c r="J26" s="17" t="n"/>
      <c r="K26" s="17" t="n"/>
      <c r="L26" s="1" t="n"/>
      <c r="M26" s="17" t="n"/>
      <c r="N26" s="17" t="n"/>
    </row>
    <row r="27">
      <c r="B27" s="17" t="n"/>
      <c r="C27" s="438" t="n"/>
      <c r="D27" s="438" t="inlineStr">
        <is>
          <t>Nov</t>
        </is>
      </c>
      <c r="E27" s="21" t="n">
        <v>192</v>
      </c>
      <c r="F27" s="470" t="n"/>
      <c r="G27" s="90" t="n"/>
      <c r="H27" s="1" t="n"/>
      <c r="I27" s="17" t="n"/>
      <c r="J27" s="17" t="n"/>
      <c r="K27" s="17" t="n"/>
      <c r="L27" s="1" t="n"/>
      <c r="M27" s="17" t="n"/>
      <c r="N27" s="17" t="n"/>
    </row>
    <row r="28">
      <c r="B28" s="17" t="n"/>
      <c r="C28" s="7" t="n"/>
      <c r="D28" s="7" t="inlineStr">
        <is>
          <t>Dec</t>
        </is>
      </c>
      <c r="E28" s="23" t="n">
        <v>202</v>
      </c>
      <c r="F28" s="470" t="n"/>
      <c r="G28" s="90" t="n"/>
      <c r="H28" s="1" t="n"/>
      <c r="I28" s="17" t="n"/>
      <c r="J28" s="17" t="n"/>
      <c r="K28" s="17" t="n"/>
      <c r="L28" s="1" t="n"/>
      <c r="M28" s="17" t="n"/>
      <c r="N28" s="17" t="n"/>
    </row>
    <row r="29">
      <c r="B29" s="17" t="n"/>
      <c r="C29" s="438" t="n">
        <v>3</v>
      </c>
      <c r="D29" s="438" t="inlineStr">
        <is>
          <t>Jan</t>
        </is>
      </c>
      <c r="E29" s="62" t="n"/>
      <c r="F29" s="471" t="n"/>
      <c r="G29" s="472" t="n"/>
      <c r="H29" s="1" t="n"/>
      <c r="I29" s="17" t="n"/>
      <c r="J29" s="17" t="n"/>
      <c r="K29" s="17" t="n"/>
      <c r="L29" s="1" t="n"/>
      <c r="M29" s="17" t="n"/>
      <c r="N29" s="17" t="n"/>
    </row>
    <row r="30">
      <c r="B30" s="17" t="n"/>
      <c r="C30" s="438" t="n"/>
      <c r="D30" s="438" t="n"/>
      <c r="E30" s="471" t="n"/>
      <c r="F30" s="471" t="n"/>
      <c r="G30" s="1" t="n"/>
      <c r="H30" s="1" t="n"/>
      <c r="I30" s="17" t="n"/>
      <c r="J30" s="17" t="n"/>
      <c r="K30" s="17" t="n"/>
      <c r="L30" s="1" t="n"/>
      <c r="M30" s="17" t="n"/>
      <c r="N30" s="17" t="n"/>
    </row>
    <row r="31">
      <c r="B31" s="17" t="n"/>
      <c r="C31" s="438" t="n"/>
      <c r="D31" s="438" t="n"/>
      <c r="E31" s="471" t="n"/>
      <c r="F31" s="471" t="n"/>
      <c r="G31" s="421" t="n"/>
      <c r="H31" s="5" t="n"/>
      <c r="I31" s="17" t="n"/>
      <c r="J31" s="17" t="n"/>
      <c r="K31" s="17" t="n"/>
      <c r="L31" s="1" t="n"/>
      <c r="M31" s="17" t="n"/>
      <c r="N31" s="17" t="n"/>
    </row>
    <row r="32">
      <c r="B32" s="17" t="n"/>
      <c r="C32" s="438" t="n"/>
      <c r="D32" s="438" t="n"/>
      <c r="E32" s="471" t="n"/>
      <c r="F32" s="471" t="n"/>
      <c r="G32" s="58" t="inlineStr">
        <is>
          <t>MAPE (mean absolute percentage error)</t>
        </is>
      </c>
      <c r="H32" s="1" t="n"/>
      <c r="I32" s="1" t="n"/>
      <c r="J32" s="17" t="n"/>
      <c r="K32" s="17" t="n"/>
      <c r="L32" s="1" t="n"/>
      <c r="M32" s="17" t="n"/>
      <c r="N32" s="17" t="n"/>
    </row>
    <row r="33">
      <c r="B33" s="17" t="n"/>
      <c r="C33" s="438" t="n"/>
      <c r="D33" s="438" t="n"/>
      <c r="E33" s="471" t="n"/>
      <c r="F33" s="471" t="n"/>
      <c r="G33" s="17" t="n"/>
      <c r="H33" s="1" t="n"/>
      <c r="I33" s="1" t="n"/>
      <c r="J33" s="17" t="n"/>
      <c r="K33" s="17" t="n"/>
      <c r="L33" s="1" t="n"/>
      <c r="M33" s="17" t="n"/>
      <c r="N33" s="17" t="n"/>
    </row>
    <row r="34"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C35" s="6" t="n"/>
      <c r="D35" s="6" t="n"/>
      <c r="E35" s="473" t="n"/>
      <c r="F35" s="6" t="n"/>
      <c r="H35" s="5" t="n"/>
      <c r="I35" s="5" t="n"/>
      <c r="J35" s="5" t="n"/>
      <c r="K35" s="5" t="n"/>
    </row>
    <row r="36">
      <c r="C36" s="6" t="n"/>
      <c r="D36" s="6" t="n"/>
      <c r="E36" s="473" t="n"/>
      <c r="F36" s="6" t="n"/>
      <c r="G36" s="5" t="n"/>
      <c r="H36" s="5" t="n"/>
      <c r="I36" s="5" t="n"/>
      <c r="J36" s="5" t="n"/>
      <c r="K36" s="5" t="n"/>
    </row>
    <row r="37">
      <c r="C37" s="6" t="n"/>
      <c r="D37" s="6" t="n"/>
      <c r="E37" s="473" t="n"/>
      <c r="F37" s="473" t="n"/>
      <c r="G37" s="474" t="n"/>
      <c r="H37" s="5" t="n"/>
      <c r="I37" s="5" t="n"/>
      <c r="J37" s="5" t="n"/>
      <c r="K37" s="5" t="n"/>
    </row>
    <row r="38">
      <c r="C38" s="6" t="n"/>
      <c r="D38" s="6" t="n"/>
      <c r="E38" s="473" t="n"/>
      <c r="F38" s="473" t="n"/>
      <c r="G38" s="474" t="n"/>
      <c r="H38" s="5" t="n"/>
      <c r="I38" s="5" t="n"/>
      <c r="J38" s="5" t="n"/>
      <c r="K38" s="5" t="n"/>
    </row>
    <row r="39">
      <c r="C39" s="6" t="n"/>
      <c r="D39" s="6" t="n"/>
      <c r="E39" s="473" t="n"/>
      <c r="F39" s="473" t="n"/>
      <c r="G39" s="474" t="n"/>
      <c r="H39" s="5" t="n"/>
      <c r="I39" s="5" t="n"/>
      <c r="J39" s="5" t="n"/>
      <c r="K39" s="5" t="n"/>
    </row>
    <row r="40">
      <c r="C40" s="6" t="n"/>
      <c r="D40" s="6" t="n"/>
      <c r="E40" s="473" t="n"/>
      <c r="F40" s="473" t="n"/>
      <c r="G40" s="474" t="n"/>
      <c r="H40" s="5" t="n"/>
      <c r="I40" s="5" t="n"/>
      <c r="J40" s="5" t="n"/>
      <c r="K40" s="5" t="n"/>
    </row>
    <row r="41">
      <c r="C41" s="6" t="n"/>
      <c r="D41" s="6" t="n"/>
      <c r="E41" s="6" t="n"/>
      <c r="F41" s="10" t="n"/>
      <c r="G41" s="5" t="n"/>
      <c r="H41" s="5" t="n"/>
      <c r="I41" s="5" t="n"/>
      <c r="J41" s="5" t="n"/>
      <c r="K41" s="5" t="n"/>
    </row>
    <row r="42">
      <c r="C42" s="5" t="n"/>
      <c r="D42" s="5" t="n"/>
      <c r="E42" s="5" t="n"/>
      <c r="F42" s="6" t="n"/>
      <c r="H42" s="5" t="n"/>
      <c r="I42" s="5" t="n"/>
      <c r="J42" s="5" t="n"/>
      <c r="K42" s="5" t="n"/>
    </row>
    <row r="43">
      <c r="C43" s="5" t="n"/>
      <c r="D43" s="5" t="n"/>
      <c r="E43" s="5" t="n"/>
      <c r="F43" s="6" t="n"/>
      <c r="H43" s="5" t="n"/>
      <c r="I43" s="5" t="n"/>
      <c r="J43" s="5" t="n"/>
      <c r="K43" s="5" t="n"/>
    </row>
    <row r="44">
      <c r="C44" s="5" t="n"/>
      <c r="D44" s="5" t="n"/>
      <c r="E44" s="5" t="n"/>
      <c r="H44" s="5" t="n"/>
      <c r="I44" s="5" t="n"/>
      <c r="J44" s="5" t="n"/>
      <c r="K44" s="5" t="n"/>
    </row>
    <row r="45">
      <c r="C45" s="5" t="n"/>
      <c r="D45" s="5" t="n"/>
      <c r="E45" s="5" t="n"/>
      <c r="H45" s="5" t="n"/>
      <c r="I45" s="5" t="n"/>
      <c r="J45" s="5" t="n"/>
      <c r="K45" s="5" t="n"/>
    </row>
    <row r="46">
      <c r="C46" s="5" t="n"/>
      <c r="D46" s="5" t="n"/>
      <c r="E46" s="5" t="n"/>
      <c r="H46" s="5" t="n"/>
      <c r="I46" s="5" t="n"/>
      <c r="J46" s="5" t="n"/>
      <c r="K46" s="5" t="n"/>
    </row>
  </sheetData>
  <mergeCells count="8">
    <mergeCell ref="L4:M4"/>
    <mergeCell ref="R15:S15"/>
    <mergeCell ref="L16:M16"/>
    <mergeCell ref="U15:V15"/>
    <mergeCell ref="L10:M10"/>
    <mergeCell ref="L15:M15"/>
    <mergeCell ref="O15:P15"/>
    <mergeCell ref="L9:M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55"/>
  <sheetViews>
    <sheetView zoomScale="131" zoomScaleNormal="75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H39" sqref="H39"/>
    </sheetView>
  </sheetViews>
  <sheetFormatPr baseColWidth="10" defaultColWidth="9" defaultRowHeight="15"/>
  <cols>
    <col width="3.1640625" customWidth="1" style="348" min="1" max="1"/>
    <col width="10.6640625" bestFit="1" customWidth="1" min="5" max="5"/>
    <col width="12.6640625" customWidth="1" min="7" max="7"/>
    <col width="26" customWidth="1" min="9" max="9"/>
    <col width="17.33203125" customWidth="1" min="10" max="10"/>
    <col width="24.33203125" customWidth="1" min="11" max="11"/>
    <col width="10.6640625" bestFit="1" customWidth="1" min="12" max="12"/>
    <col width="16.83203125" customWidth="1" min="13" max="13"/>
    <col width="16.6640625" customWidth="1" min="14" max="14"/>
    <col width="12.33203125" customWidth="1" min="15" max="15"/>
  </cols>
  <sheetData>
    <row r="1" ht="15" customFormat="1" customHeight="1" s="348">
      <c r="B1" s="350" t="n"/>
      <c r="C1" s="351" t="n"/>
      <c r="D1" s="351" t="n"/>
      <c r="E1" s="351" t="n"/>
      <c r="F1" s="351" t="n"/>
      <c r="G1" s="351" t="n"/>
      <c r="H1" s="352" t="n"/>
      <c r="I1" s="353" t="n"/>
      <c r="J1" s="353" t="n"/>
      <c r="K1" s="350" t="n"/>
      <c r="L1" s="351" t="n"/>
      <c r="M1" s="351" t="n"/>
      <c r="N1" s="350" t="n"/>
      <c r="O1" s="350" t="n"/>
      <c r="P1" s="350" t="n"/>
      <c r="Q1" s="350" t="n"/>
      <c r="R1" s="350" t="n"/>
      <c r="S1" s="350" t="n"/>
      <c r="T1" s="350" t="n"/>
      <c r="U1" s="350" t="n"/>
      <c r="V1" s="350" t="n"/>
    </row>
    <row r="2">
      <c r="B2" s="1" t="n"/>
      <c r="C2" s="4" t="n"/>
      <c r="D2" s="4" t="n"/>
      <c r="E2" s="438" t="n"/>
      <c r="F2" s="438" t="n"/>
      <c r="G2" s="438" t="n"/>
      <c r="H2" s="438" t="n"/>
      <c r="I2" s="438" t="n"/>
      <c r="J2" s="438" t="n"/>
      <c r="K2" s="1" t="n"/>
      <c r="L2" s="438" t="n"/>
      <c r="M2" s="438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B3" s="1" t="n"/>
      <c r="C3" s="438" t="n"/>
      <c r="D3" s="438" t="n"/>
      <c r="E3" s="438" t="inlineStr">
        <is>
          <t>Month</t>
        </is>
      </c>
      <c r="F3" s="438" t="n"/>
      <c r="G3" s="438" t="n"/>
      <c r="H3" s="438" t="n"/>
      <c r="I3" s="438" t="n"/>
      <c r="J3" s="438" t="n"/>
      <c r="K3" s="438" t="n"/>
      <c r="L3" s="17" t="n"/>
      <c r="M3" s="438" t="inlineStr">
        <is>
          <t>Month</t>
        </is>
      </c>
      <c r="N3" s="438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B4" s="1" t="n"/>
      <c r="C4" s="7" t="inlineStr">
        <is>
          <t>Year</t>
        </is>
      </c>
      <c r="D4" s="7" t="inlineStr">
        <is>
          <t>Month</t>
        </is>
      </c>
      <c r="E4" s="7" t="inlineStr">
        <is>
          <t>numbered</t>
        </is>
      </c>
      <c r="F4" s="7" t="inlineStr">
        <is>
          <t>t</t>
        </is>
      </c>
      <c r="G4" s="7" t="inlineStr">
        <is>
          <t>Demand</t>
        </is>
      </c>
      <c r="H4" s="7" t="inlineStr">
        <is>
          <t>CMA(k)</t>
        </is>
      </c>
      <c r="I4" s="7" t="inlineStr">
        <is>
          <t>Seasonal ratio</t>
        </is>
      </c>
      <c r="J4" s="7" t="inlineStr">
        <is>
          <t>Seasonal index</t>
        </is>
      </c>
      <c r="K4" s="7" t="inlineStr">
        <is>
          <t>Unseasoned value</t>
        </is>
      </c>
      <c r="L4" s="17" t="n"/>
      <c r="M4" s="7" t="inlineStr">
        <is>
          <t>numbered</t>
        </is>
      </c>
      <c r="N4" s="7" t="inlineStr">
        <is>
          <t>Seasonal index</t>
        </is>
      </c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B5" s="1" t="n"/>
      <c r="C5" s="438" t="n">
        <v>1</v>
      </c>
      <c r="D5" s="438" t="inlineStr">
        <is>
          <t>Jan</t>
        </is>
      </c>
      <c r="E5" s="438" t="n">
        <v>1</v>
      </c>
      <c r="F5" s="438" t="n">
        <v>1</v>
      </c>
      <c r="G5" s="21" t="n">
        <v>105</v>
      </c>
      <c r="H5" s="62" t="n"/>
      <c r="I5" s="62" t="n"/>
      <c r="J5" s="62">
        <f>AVERAGEIF($D$7:$D$37,D5,$I$7:$I$38)</f>
        <v/>
      </c>
      <c r="K5" s="21">
        <f>G5/J5</f>
        <v/>
      </c>
      <c r="L5" s="17" t="n"/>
      <c r="M5" s="438" t="n">
        <v>1</v>
      </c>
      <c r="N5" s="25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B6" s="1" t="n"/>
      <c r="C6" s="438" t="n"/>
      <c r="D6" s="438" t="inlineStr">
        <is>
          <t>Feb</t>
        </is>
      </c>
      <c r="E6" s="438" t="n">
        <v>2</v>
      </c>
      <c r="F6" s="438" t="n">
        <v>2</v>
      </c>
      <c r="G6" s="21" t="n">
        <v>78</v>
      </c>
      <c r="H6" s="62" t="n"/>
      <c r="I6" s="62" t="n"/>
      <c r="J6" s="62">
        <f>AVERAGEIF($D$7:$D$37,D6,$I$7:$I$38)</f>
        <v/>
      </c>
      <c r="K6" s="21">
        <f>G6/J6</f>
        <v/>
      </c>
      <c r="L6" s="17" t="n"/>
      <c r="M6" s="438" t="n">
        <v>2</v>
      </c>
      <c r="N6" s="25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B7" s="1" t="n"/>
      <c r="C7" s="438" t="n"/>
      <c r="D7" s="438" t="inlineStr">
        <is>
          <t>Mar</t>
        </is>
      </c>
      <c r="E7" s="438" t="n">
        <v>3</v>
      </c>
      <c r="F7" s="438" t="n">
        <v>3</v>
      </c>
      <c r="G7" s="21" t="n">
        <v>125</v>
      </c>
      <c r="H7" s="62">
        <f>AVERAGE(G5:G9)</f>
        <v/>
      </c>
      <c r="I7" s="62">
        <f>G7/H7</f>
        <v/>
      </c>
      <c r="J7" s="62">
        <f>AVERAGEIF($D$7:$D$37,D7,$I$7:$I$38)</f>
        <v/>
      </c>
      <c r="K7" s="21">
        <f>G7/J7</f>
        <v/>
      </c>
      <c r="L7" s="17" t="n"/>
      <c r="M7" s="438" t="n">
        <v>3</v>
      </c>
      <c r="N7" s="25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B8" s="1" t="n"/>
      <c r="C8" s="438" t="n"/>
      <c r="D8" s="438" t="inlineStr">
        <is>
          <t>Apr</t>
        </is>
      </c>
      <c r="E8" s="438" t="n">
        <v>4</v>
      </c>
      <c r="F8" s="438" t="n">
        <v>4</v>
      </c>
      <c r="G8" s="21" t="n">
        <v>141</v>
      </c>
      <c r="H8" s="62">
        <f>AVERAGE(G6:G10)</f>
        <v/>
      </c>
      <c r="I8" s="62">
        <f>G8/H8</f>
        <v/>
      </c>
      <c r="J8" s="62">
        <f>AVERAGEIF($D$7:$D$37,D8,$I$7:$I$38)</f>
        <v/>
      </c>
      <c r="K8" s="21">
        <f>G8/J8</f>
        <v/>
      </c>
      <c r="L8" s="17" t="n"/>
      <c r="M8" s="438" t="n">
        <v>4</v>
      </c>
      <c r="N8" s="25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B9" s="1" t="n"/>
      <c r="C9" s="438" t="n"/>
      <c r="D9" s="438" t="inlineStr">
        <is>
          <t>May</t>
        </is>
      </c>
      <c r="E9" s="438" t="n">
        <v>5</v>
      </c>
      <c r="F9" s="438" t="n">
        <v>5</v>
      </c>
      <c r="G9" s="59" t="n">
        <v>130</v>
      </c>
      <c r="H9" s="62">
        <f>AVERAGE(G7:G11)</f>
        <v/>
      </c>
      <c r="I9" s="62">
        <f>G9/H9</f>
        <v/>
      </c>
      <c r="J9" s="62">
        <f>AVERAGEIF($D$7:$D$37,D9,$I$7:$I$38)</f>
        <v/>
      </c>
      <c r="K9" s="21">
        <f>G9/J9</f>
        <v/>
      </c>
      <c r="L9" s="17" t="n"/>
      <c r="M9" s="438" t="n">
        <v>5</v>
      </c>
      <c r="N9" s="25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B10" s="1" t="n"/>
      <c r="C10" s="438" t="n"/>
      <c r="D10" s="438" t="inlineStr">
        <is>
          <t>Jun</t>
        </is>
      </c>
      <c r="E10" s="438" t="n">
        <v>6</v>
      </c>
      <c r="F10" s="438" t="n">
        <v>6</v>
      </c>
      <c r="G10" s="59" t="n">
        <v>97</v>
      </c>
      <c r="H10" s="62">
        <f>AVERAGE(G8:G12)</f>
        <v/>
      </c>
      <c r="I10" s="62">
        <f>G10/H10</f>
        <v/>
      </c>
      <c r="J10" s="62">
        <f>AVERAGEIF($D$7:$D$37,D10,$I$7:$I$38)</f>
        <v/>
      </c>
      <c r="K10" s="21">
        <f>G10/J10</f>
        <v/>
      </c>
      <c r="L10" s="17" t="n"/>
      <c r="M10" s="438" t="n">
        <v>6</v>
      </c>
      <c r="N10" s="25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B11" s="1" t="n"/>
      <c r="C11" s="438" t="n"/>
      <c r="D11" s="438" t="inlineStr">
        <is>
          <t>Jul</t>
        </is>
      </c>
      <c r="E11" s="438" t="n">
        <v>7</v>
      </c>
      <c r="F11" s="438" t="n">
        <v>7</v>
      </c>
      <c r="G11" s="59" t="n">
        <v>139</v>
      </c>
      <c r="H11" s="62">
        <f>AVERAGE(G9:G13)</f>
        <v/>
      </c>
      <c r="I11" s="62">
        <f>G11/H11</f>
        <v/>
      </c>
      <c r="J11" s="62">
        <f>AVERAGEIF($D$7:$D$37,D11,$I$7:$I$38)</f>
        <v/>
      </c>
      <c r="K11" s="21">
        <f>G11/J11</f>
        <v/>
      </c>
      <c r="L11" s="17" t="n"/>
      <c r="M11" s="438" t="n">
        <v>7</v>
      </c>
      <c r="N11" s="25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B12" s="1" t="n"/>
      <c r="C12" s="438" t="n"/>
      <c r="D12" s="438" t="inlineStr">
        <is>
          <t>Aug</t>
        </is>
      </c>
      <c r="E12" s="438" t="n">
        <v>8</v>
      </c>
      <c r="F12" s="438" t="n">
        <v>8</v>
      </c>
      <c r="G12" s="59" t="n">
        <v>174</v>
      </c>
      <c r="H12" s="62">
        <f>AVERAGE(G10:G14)</f>
        <v/>
      </c>
      <c r="I12" s="62">
        <f>G12/H12</f>
        <v/>
      </c>
      <c r="J12" s="62">
        <f>AVERAGEIF($D$7:$D$37,D12,$I$7:$I$38)</f>
        <v/>
      </c>
      <c r="K12" s="21">
        <f>G12/J12</f>
        <v/>
      </c>
      <c r="L12" s="17" t="n"/>
      <c r="M12" s="438" t="n">
        <v>8</v>
      </c>
      <c r="N12" s="25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B13" s="1" t="n"/>
      <c r="C13" s="438" t="n"/>
      <c r="D13" s="438" t="inlineStr">
        <is>
          <t>Sep</t>
        </is>
      </c>
      <c r="E13" s="438" t="n">
        <v>9</v>
      </c>
      <c r="F13" s="438" t="n">
        <v>9</v>
      </c>
      <c r="G13" s="59" t="n">
        <v>139</v>
      </c>
      <c r="H13" s="62">
        <f>AVERAGE(G11:G15)</f>
        <v/>
      </c>
      <c r="I13" s="62">
        <f>G13/H13</f>
        <v/>
      </c>
      <c r="J13" s="62">
        <f>AVERAGEIF($D$7:$D$37,D13,$I$7:$I$38)</f>
        <v/>
      </c>
      <c r="K13" s="21">
        <f>G13/J13</f>
        <v/>
      </c>
      <c r="L13" s="17" t="n"/>
      <c r="M13" s="438" t="n">
        <v>9</v>
      </c>
      <c r="N13" s="25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B14" s="1" t="n"/>
      <c r="C14" s="438" t="n"/>
      <c r="D14" s="438" t="inlineStr">
        <is>
          <t>Oct</t>
        </is>
      </c>
      <c r="E14" s="438" t="n">
        <v>10</v>
      </c>
      <c r="F14" s="438" t="n">
        <v>10</v>
      </c>
      <c r="G14" s="59" t="n">
        <v>127</v>
      </c>
      <c r="H14" s="62">
        <f>AVERAGE(G12:G16)</f>
        <v/>
      </c>
      <c r="I14" s="62">
        <f>G14/H14</f>
        <v/>
      </c>
      <c r="J14" s="62">
        <f>AVERAGEIF($D$7:$D$37,D14,$I$7:$I$38)</f>
        <v/>
      </c>
      <c r="K14" s="21">
        <f>G14/J14</f>
        <v/>
      </c>
      <c r="L14" s="17" t="n"/>
      <c r="M14" s="438" t="n">
        <v>10</v>
      </c>
      <c r="N14" s="25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B15" s="1" t="n"/>
      <c r="C15" s="438" t="n"/>
      <c r="D15" s="438" t="inlineStr">
        <is>
          <t>Nov</t>
        </is>
      </c>
      <c r="E15" s="438" t="n">
        <v>11</v>
      </c>
      <c r="F15" s="438" t="n">
        <v>11</v>
      </c>
      <c r="G15" s="59" t="n">
        <v>148</v>
      </c>
      <c r="H15" s="62">
        <f>AVERAGE(G13:G17)</f>
        <v/>
      </c>
      <c r="I15" s="62">
        <f>G15/H15</f>
        <v/>
      </c>
      <c r="J15" s="62">
        <f>AVERAGEIF($D$7:$D$37,D15,$I$7:$I$38)</f>
        <v/>
      </c>
      <c r="K15" s="21">
        <f>G15/J15</f>
        <v/>
      </c>
      <c r="L15" s="17" t="n"/>
      <c r="M15" s="438" t="n">
        <v>11</v>
      </c>
      <c r="N15" s="25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B16" s="1" t="n"/>
      <c r="C16" s="438" t="n"/>
      <c r="D16" s="438" t="inlineStr">
        <is>
          <t>Dec</t>
        </is>
      </c>
      <c r="E16" s="438" t="n">
        <v>12</v>
      </c>
      <c r="F16" s="438" t="n">
        <v>12</v>
      </c>
      <c r="G16" s="59" t="n">
        <v>200</v>
      </c>
      <c r="H16" s="62">
        <f>AVERAGE(G14:G18)</f>
        <v/>
      </c>
      <c r="I16" s="62">
        <f>G16/H16</f>
        <v/>
      </c>
      <c r="J16" s="62">
        <f>AVERAGEIF($D$7:$D$37,D16,$I$7:$I$38)</f>
        <v/>
      </c>
      <c r="K16" s="21">
        <f>G16/J16</f>
        <v/>
      </c>
      <c r="L16" s="17" t="n"/>
      <c r="M16" s="438" t="n">
        <v>12</v>
      </c>
      <c r="N16" s="25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B17" s="1" t="n"/>
      <c r="C17" s="15" t="n">
        <v>2</v>
      </c>
      <c r="D17" s="15" t="inlineStr">
        <is>
          <t>Jan</t>
        </is>
      </c>
      <c r="E17" s="15" t="n">
        <v>1</v>
      </c>
      <c r="F17" s="15" t="n">
        <v>13</v>
      </c>
      <c r="G17" s="15" t="n">
        <v>155</v>
      </c>
      <c r="H17" s="62">
        <f>AVERAGE(G15:G19)</f>
        <v/>
      </c>
      <c r="I17" s="62">
        <f>G17/H17</f>
        <v/>
      </c>
      <c r="J17" s="62">
        <f>AVERAGEIF($D$7:$D$37,D17,$I$7:$I$38)</f>
        <v/>
      </c>
      <c r="K17" s="21">
        <f>G17/J17</f>
        <v/>
      </c>
      <c r="L17" s="438" t="n"/>
      <c r="M17" s="438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B18" s="1" t="n"/>
      <c r="C18" s="15" t="n"/>
      <c r="D18" s="15" t="inlineStr">
        <is>
          <t>Feb</t>
        </is>
      </c>
      <c r="E18" s="15" t="n">
        <v>2</v>
      </c>
      <c r="F18" s="15" t="n">
        <v>14</v>
      </c>
      <c r="G18" s="15" t="n">
        <v>143</v>
      </c>
      <c r="H18" s="62">
        <f>AVERAGE(G16:G20)</f>
        <v/>
      </c>
      <c r="I18" s="62">
        <f>G18/H18</f>
        <v/>
      </c>
      <c r="J18" s="62">
        <f>AVERAGEIF($D$7:$D$37,D18,$I$7:$I$38)</f>
        <v/>
      </c>
      <c r="K18" s="21">
        <f>G18/J18</f>
        <v/>
      </c>
      <c r="L18" s="24" t="n"/>
      <c r="M18" s="438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B19" s="1" t="n"/>
      <c r="C19" s="15" t="n"/>
      <c r="D19" s="15" t="inlineStr">
        <is>
          <t>Mar</t>
        </is>
      </c>
      <c r="E19" s="15" t="n">
        <v>3</v>
      </c>
      <c r="F19" s="15" t="n">
        <v>15</v>
      </c>
      <c r="G19" s="15" t="n">
        <v>173</v>
      </c>
      <c r="H19" s="62">
        <f>AVERAGE(G17:G21)</f>
        <v/>
      </c>
      <c r="I19" s="62">
        <f>G19/H19</f>
        <v/>
      </c>
      <c r="J19" s="62">
        <f>AVERAGEIF($D$7:$D$37,D19,$I$7:$I$38)</f>
        <v/>
      </c>
      <c r="K19" s="21">
        <f>G19/J19</f>
        <v/>
      </c>
      <c r="L19" s="17" t="n"/>
      <c r="M19" s="17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B20" s="1" t="n"/>
      <c r="C20" s="15" t="n"/>
      <c r="D20" s="15" t="inlineStr">
        <is>
          <t>Apr</t>
        </is>
      </c>
      <c r="E20" s="15" t="n">
        <v>4</v>
      </c>
      <c r="F20" s="15" t="n">
        <v>16</v>
      </c>
      <c r="G20" s="15" t="n">
        <v>219</v>
      </c>
      <c r="H20" s="62">
        <f>AVERAGE(G18:G22)</f>
        <v/>
      </c>
      <c r="I20" s="62">
        <f>G20/H20</f>
        <v/>
      </c>
      <c r="J20" s="62">
        <f>AVERAGEIF($D$7:$D$37,D20,$I$7:$I$38)</f>
        <v/>
      </c>
      <c r="K20" s="21">
        <f>G20/J20</f>
        <v/>
      </c>
      <c r="L20" s="2" t="n"/>
      <c r="M20" s="19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B21" s="1" t="n"/>
      <c r="C21" s="15" t="n"/>
      <c r="D21" s="15" t="inlineStr">
        <is>
          <t>May</t>
        </is>
      </c>
      <c r="E21" s="15" t="n">
        <v>5</v>
      </c>
      <c r="F21" s="15" t="n">
        <v>17</v>
      </c>
      <c r="G21" s="15" t="n">
        <v>188</v>
      </c>
      <c r="H21" s="62">
        <f>AVERAGE(G19:G23)</f>
        <v/>
      </c>
      <c r="I21" s="62">
        <f>G21/H21</f>
        <v/>
      </c>
      <c r="J21" s="62">
        <f>AVERAGEIF($D$7:$D$37,D21,$I$7:$I$38)</f>
        <v/>
      </c>
      <c r="K21" s="21">
        <f>G21/J21</f>
        <v/>
      </c>
      <c r="L21" s="20" t="n"/>
      <c r="M21" s="17" t="n"/>
      <c r="N21" s="17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B22" s="1" t="n"/>
      <c r="C22" s="15" t="n"/>
      <c r="D22" s="15" t="inlineStr">
        <is>
          <t>Jun</t>
        </is>
      </c>
      <c r="E22" s="15" t="n">
        <v>6</v>
      </c>
      <c r="F22" s="15" t="n">
        <v>18</v>
      </c>
      <c r="G22" s="15" t="n">
        <v>154</v>
      </c>
      <c r="H22" s="62">
        <f>AVERAGE(G20:G24)</f>
        <v/>
      </c>
      <c r="I22" s="62">
        <f>G22/H22</f>
        <v/>
      </c>
      <c r="J22" s="62">
        <f>AVERAGEIF($D$7:$D$37,D22,$I$7:$I$38)</f>
        <v/>
      </c>
      <c r="K22" s="21">
        <f>G22/J22</f>
        <v/>
      </c>
      <c r="L22" s="2" t="n"/>
      <c r="M22" s="17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B23" s="1" t="n"/>
      <c r="C23" s="15" t="n"/>
      <c r="D23" s="15" t="inlineStr">
        <is>
          <t>Jul</t>
        </is>
      </c>
      <c r="E23" s="15" t="n">
        <v>7</v>
      </c>
      <c r="F23" s="15" t="n">
        <v>19</v>
      </c>
      <c r="G23" s="15" t="n">
        <v>204</v>
      </c>
      <c r="H23" s="62">
        <f>AVERAGE(G21:G25)</f>
        <v/>
      </c>
      <c r="I23" s="62">
        <f>G23/H23</f>
        <v/>
      </c>
      <c r="J23" s="62">
        <f>AVERAGEIF($D$7:$D$37,D23,$I$7:$I$38)</f>
        <v/>
      </c>
      <c r="K23" s="21">
        <f>G23/J23</f>
        <v/>
      </c>
      <c r="L23" s="17" t="n"/>
      <c r="M23" s="17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B24" s="1" t="n"/>
      <c r="C24" s="15" t="n"/>
      <c r="D24" s="15" t="inlineStr">
        <is>
          <t>Aug</t>
        </is>
      </c>
      <c r="E24" s="15" t="n">
        <v>8</v>
      </c>
      <c r="F24" s="15" t="n">
        <v>20</v>
      </c>
      <c r="G24" s="15" t="n">
        <v>233</v>
      </c>
      <c r="H24" s="62">
        <f>AVERAGE(G22:G26)</f>
        <v/>
      </c>
      <c r="I24" s="62">
        <f>G24/H24</f>
        <v/>
      </c>
      <c r="J24" s="62">
        <f>AVERAGEIF($D$7:$D$37,D24,$I$7:$I$38)</f>
        <v/>
      </c>
      <c r="K24" s="21">
        <f>G24/J24</f>
        <v/>
      </c>
      <c r="L24" s="17" t="n"/>
      <c r="M24" s="17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B25" s="1" t="n"/>
      <c r="C25" s="15" t="n"/>
      <c r="D25" s="15" t="inlineStr">
        <is>
          <t>Sep</t>
        </is>
      </c>
      <c r="E25" s="15" t="n">
        <v>9</v>
      </c>
      <c r="F25" s="15" t="n">
        <v>21</v>
      </c>
      <c r="G25" s="15" t="n">
        <v>197</v>
      </c>
      <c r="H25" s="62">
        <f>AVERAGE(G23:G27)</f>
        <v/>
      </c>
      <c r="I25" s="62">
        <f>G25/H25</f>
        <v/>
      </c>
      <c r="J25" s="62">
        <f>AVERAGEIF($D$7:$D$37,D25,$I$7:$I$38)</f>
        <v/>
      </c>
      <c r="K25" s="21">
        <f>G25/J25</f>
        <v/>
      </c>
      <c r="L25" s="438" t="n"/>
      <c r="M25" s="438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B26" s="1" t="n"/>
      <c r="C26" s="15" t="n"/>
      <c r="D26" s="15" t="inlineStr">
        <is>
          <t>Oct</t>
        </is>
      </c>
      <c r="E26" s="15" t="n">
        <v>10</v>
      </c>
      <c r="F26" s="15" t="n">
        <v>22</v>
      </c>
      <c r="G26" s="15" t="n">
        <v>160</v>
      </c>
      <c r="H26" s="62">
        <f>AVERAGE(G24:G28)</f>
        <v/>
      </c>
      <c r="I26" s="62">
        <f>G26/H26</f>
        <v/>
      </c>
      <c r="J26" s="62">
        <f>AVERAGEIF($D$7:$D$37,D26,$I$7:$I$38)</f>
        <v/>
      </c>
      <c r="K26" s="21">
        <f>G26/J26</f>
        <v/>
      </c>
      <c r="L26" s="438" t="n"/>
      <c r="M26" s="13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B27" s="1" t="n"/>
      <c r="C27" s="15" t="n"/>
      <c r="D27" s="15" t="inlineStr">
        <is>
          <t>Nov</t>
        </is>
      </c>
      <c r="E27" s="15" t="n">
        <v>11</v>
      </c>
      <c r="F27" s="15" t="n">
        <v>23</v>
      </c>
      <c r="G27" s="15" t="n">
        <v>209</v>
      </c>
      <c r="H27" s="62">
        <f>AVERAGE(G25:G29)</f>
        <v/>
      </c>
      <c r="I27" s="62">
        <f>G27/H27</f>
        <v/>
      </c>
      <c r="J27" s="62">
        <f>AVERAGEIF($D$7:$D$37,D27,$I$7:$I$38)</f>
        <v/>
      </c>
      <c r="K27" s="21">
        <f>G27/J27</f>
        <v/>
      </c>
      <c r="L27" s="438" t="n"/>
      <c r="M27" s="13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B28" s="1" t="n"/>
      <c r="C28" s="15" t="n"/>
      <c r="D28" s="15" t="inlineStr">
        <is>
          <t>Dec</t>
        </is>
      </c>
      <c r="E28" s="15" t="n">
        <v>12</v>
      </c>
      <c r="F28" s="15" t="n">
        <v>24</v>
      </c>
      <c r="G28" s="15" t="n">
        <v>263</v>
      </c>
      <c r="H28" s="62">
        <f>AVERAGE(G26:G30)</f>
        <v/>
      </c>
      <c r="I28" s="62">
        <f>G28/H28</f>
        <v/>
      </c>
      <c r="J28" s="62">
        <f>AVERAGEIF($D$7:$D$37,D28,$I$7:$I$38)</f>
        <v/>
      </c>
      <c r="K28" s="21">
        <f>G28/J28</f>
        <v/>
      </c>
      <c r="L28" s="438" t="n"/>
      <c r="M28" s="13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B29" s="1" t="n"/>
      <c r="C29" s="438" t="n">
        <v>3</v>
      </c>
      <c r="D29" s="438" t="inlineStr">
        <is>
          <t>Jan</t>
        </is>
      </c>
      <c r="E29" s="438" t="n">
        <v>1</v>
      </c>
      <c r="F29" s="438" t="n">
        <v>25</v>
      </c>
      <c r="G29" s="59" t="n">
        <v>230</v>
      </c>
      <c r="H29" s="62">
        <f>AVERAGE(G27:G31)</f>
        <v/>
      </c>
      <c r="I29" s="62">
        <f>G29/H29</f>
        <v/>
      </c>
      <c r="J29" s="62">
        <f>AVERAGEIF($D$7:$D$37,D29,$I$7:$I$38)</f>
        <v/>
      </c>
      <c r="K29" s="21">
        <f>G29/J29</f>
        <v/>
      </c>
      <c r="L29" s="438" t="n"/>
      <c r="M29" s="13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B30" s="1" t="n"/>
      <c r="C30" s="438" t="n"/>
      <c r="D30" s="438" t="inlineStr">
        <is>
          <t>Feb</t>
        </is>
      </c>
      <c r="E30" s="438" t="n">
        <v>2</v>
      </c>
      <c r="F30" s="438" t="n">
        <v>26</v>
      </c>
      <c r="G30" s="59" t="n">
        <v>178</v>
      </c>
      <c r="H30" s="62">
        <f>AVERAGE(G28:G32)</f>
        <v/>
      </c>
      <c r="I30" s="62">
        <f>G30/H30</f>
        <v/>
      </c>
      <c r="J30" s="62">
        <f>AVERAGEIF($D$7:$D$37,D30,$I$7:$I$38)</f>
        <v/>
      </c>
      <c r="K30" s="21">
        <f>G30/J30</f>
        <v/>
      </c>
      <c r="L30" s="438" t="n"/>
      <c r="M30" s="13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>
      <c r="B31" s="1" t="n"/>
      <c r="C31" s="438" t="n"/>
      <c r="D31" s="438" t="inlineStr">
        <is>
          <t>Mar</t>
        </is>
      </c>
      <c r="E31" s="438" t="n">
        <v>3</v>
      </c>
      <c r="F31" s="438" t="n">
        <v>27</v>
      </c>
      <c r="G31" s="59" t="n">
        <v>243</v>
      </c>
      <c r="H31" s="62">
        <f>AVERAGE(G29:G33)</f>
        <v/>
      </c>
      <c r="I31" s="62">
        <f>G31/H31</f>
        <v/>
      </c>
      <c r="J31" s="62">
        <f>AVERAGEIF($D$7:$D$37,D31,$I$7:$I$38)</f>
        <v/>
      </c>
      <c r="K31" s="21">
        <f>G31/J31</f>
        <v/>
      </c>
      <c r="L31" s="438" t="n"/>
      <c r="M31" s="13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B32" s="1" t="n"/>
      <c r="C32" s="438" t="n"/>
      <c r="D32" s="438" t="inlineStr">
        <is>
          <t>Apr</t>
        </is>
      </c>
      <c r="E32" s="438" t="n">
        <v>4</v>
      </c>
      <c r="F32" s="438" t="n">
        <v>28</v>
      </c>
      <c r="G32" s="59" t="n">
        <v>285</v>
      </c>
      <c r="H32" s="62">
        <f>AVERAGE(G30:G34)</f>
        <v/>
      </c>
      <c r="I32" s="62">
        <f>G32/H32</f>
        <v/>
      </c>
      <c r="J32" s="62">
        <f>AVERAGEIF($D$7:$D$37,D32,$I$7:$I$38)</f>
        <v/>
      </c>
      <c r="K32" s="21">
        <f>G32/J32</f>
        <v/>
      </c>
      <c r="L32" s="438" t="n"/>
      <c r="M32" s="13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B33" s="1" t="n"/>
      <c r="C33" s="438" t="n"/>
      <c r="D33" s="438" t="inlineStr">
        <is>
          <t>May</t>
        </is>
      </c>
      <c r="E33" s="438" t="n">
        <v>5</v>
      </c>
      <c r="F33" s="438" t="n">
        <v>29</v>
      </c>
      <c r="G33" s="59" t="n">
        <v>243</v>
      </c>
      <c r="H33" s="62">
        <f>AVERAGE(G31:G35)</f>
        <v/>
      </c>
      <c r="I33" s="62">
        <f>G33/H33</f>
        <v/>
      </c>
      <c r="J33" s="62">
        <f>AVERAGEIF($D$7:$D$37,D33,$I$7:$I$38)</f>
        <v/>
      </c>
      <c r="K33" s="21">
        <f>G33/J33</f>
        <v/>
      </c>
      <c r="L33" s="438" t="n"/>
      <c r="M33" s="13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B34" s="1" t="n"/>
      <c r="C34" s="438" t="n"/>
      <c r="D34" s="438" t="inlineStr">
        <is>
          <t>Jun</t>
        </is>
      </c>
      <c r="E34" s="438" t="n">
        <v>6</v>
      </c>
      <c r="F34" s="438" t="n">
        <v>30</v>
      </c>
      <c r="G34" s="59" t="n">
        <v>209</v>
      </c>
      <c r="H34" s="62">
        <f>AVERAGE(G32:G36)</f>
        <v/>
      </c>
      <c r="I34" s="62">
        <f>G34/H34</f>
        <v/>
      </c>
      <c r="J34" s="62">
        <f>AVERAGEIF($D$7:$D$37,D34,$I$7:$I$38)</f>
        <v/>
      </c>
      <c r="K34" s="21">
        <f>G34/J34</f>
        <v/>
      </c>
      <c r="L34" s="438" t="n"/>
      <c r="M34" s="13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B35" s="1" t="n"/>
      <c r="C35" s="438" t="n"/>
      <c r="D35" s="438" t="inlineStr">
        <is>
          <t>Jul</t>
        </is>
      </c>
      <c r="E35" s="438" t="n">
        <v>7</v>
      </c>
      <c r="F35" s="438" t="n">
        <v>31</v>
      </c>
      <c r="G35" s="59" t="n">
        <v>249</v>
      </c>
      <c r="H35" s="62">
        <f>AVERAGE(G33:G37)</f>
        <v/>
      </c>
      <c r="I35" s="62">
        <f>G35/H35</f>
        <v/>
      </c>
      <c r="J35" s="62">
        <f>AVERAGEIF($D$7:$D$37,D35,$I$7:$I$38)</f>
        <v/>
      </c>
      <c r="K35" s="21">
        <f>G35/J35</f>
        <v/>
      </c>
      <c r="L35" s="438" t="n"/>
      <c r="M35" s="13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>
      <c r="B36" s="1" t="n"/>
      <c r="C36" s="13" t="n"/>
      <c r="D36" s="438" t="inlineStr">
        <is>
          <t>Aug</t>
        </is>
      </c>
      <c r="E36" s="438" t="n">
        <v>8</v>
      </c>
      <c r="F36" s="438" t="n">
        <v>32</v>
      </c>
      <c r="G36" s="59" t="n">
        <v>305</v>
      </c>
      <c r="H36" s="62">
        <f>AVERAGE(G34:G38)</f>
        <v/>
      </c>
      <c r="I36" s="62">
        <f>G36/H36</f>
        <v/>
      </c>
      <c r="J36" s="62">
        <f>AVERAGEIF($D$7:$D$37,D36,$I$7:$I$38)</f>
        <v/>
      </c>
      <c r="K36" s="21">
        <f>G36/J36</f>
        <v/>
      </c>
      <c r="L36" s="438" t="n"/>
      <c r="M36" s="13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>
      <c r="B37" s="1" t="n"/>
      <c r="C37" s="438" t="n"/>
      <c r="D37" s="438" t="inlineStr">
        <is>
          <t>Sep</t>
        </is>
      </c>
      <c r="E37" s="438" t="n">
        <v>9</v>
      </c>
      <c r="F37" s="438" t="n">
        <v>33</v>
      </c>
      <c r="G37" s="59" t="n">
        <v>264</v>
      </c>
      <c r="H37" s="62">
        <f>AVERAGE(G35:G39)</f>
        <v/>
      </c>
      <c r="I37" s="62">
        <f>G37/H37</f>
        <v/>
      </c>
      <c r="J37" s="62">
        <f>AVERAGEIF($D$7:$D$37,D37,$I$7:$I$38)</f>
        <v/>
      </c>
      <c r="K37" s="21">
        <f>G37/J37</f>
        <v/>
      </c>
      <c r="L37" s="438" t="n"/>
      <c r="M37" s="13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>
      <c r="B38" s="1" t="n"/>
      <c r="C38" s="438" t="n"/>
      <c r="D38" s="438" t="inlineStr">
        <is>
          <t>Oct</t>
        </is>
      </c>
      <c r="E38" s="438" t="n">
        <v>10</v>
      </c>
      <c r="F38" s="438" t="n">
        <v>34</v>
      </c>
      <c r="G38" s="59" t="n">
        <v>216</v>
      </c>
      <c r="H38" s="62">
        <f>AVERAGE(G36:G40)</f>
        <v/>
      </c>
      <c r="I38" s="62">
        <f>G38/H38</f>
        <v/>
      </c>
      <c r="J38" s="62">
        <f>AVERAGEIF($D$7:$D$37,D38,$I$7:$I$38)</f>
        <v/>
      </c>
      <c r="K38" s="21">
        <f>G38/J38</f>
        <v/>
      </c>
      <c r="L38" s="438" t="n"/>
      <c r="M38" s="13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>
      <c r="B39" s="1" t="n"/>
      <c r="C39" s="438" t="n"/>
      <c r="D39" s="438" t="inlineStr">
        <is>
          <t>Nov</t>
        </is>
      </c>
      <c r="E39" s="438" t="n">
        <v>11</v>
      </c>
      <c r="F39" s="438" t="n">
        <v>35</v>
      </c>
      <c r="G39" s="59" t="n">
        <v>272</v>
      </c>
      <c r="H39" s="62" t="n"/>
      <c r="I39" s="62" t="n"/>
      <c r="J39" s="62">
        <f>AVERAGEIF($D$7:$D$37,D39,$I$7:$I$38)</f>
        <v/>
      </c>
      <c r="K39" s="418" t="n"/>
      <c r="L39" s="438" t="n"/>
      <c r="M39" s="13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>
      <c r="B40" s="1" t="n"/>
      <c r="C40" s="438" t="n"/>
      <c r="D40" s="438" t="inlineStr">
        <is>
          <t>Dec</t>
        </is>
      </c>
      <c r="E40" s="438" t="n">
        <v>12</v>
      </c>
      <c r="F40" s="438" t="n">
        <v>36</v>
      </c>
      <c r="G40" s="60" t="n">
        <v>346</v>
      </c>
      <c r="H40" s="62" t="n"/>
      <c r="I40" s="62" t="n"/>
      <c r="J40" s="62">
        <f>AVERAGEIF($D$7:$D$37,D40,$I$7:$I$38)</f>
        <v/>
      </c>
      <c r="K40" s="21" t="n"/>
      <c r="L40" s="438" t="n"/>
      <c r="M40" s="13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B41" s="1" t="n"/>
      <c r="C41" s="438" t="n"/>
      <c r="D41" s="438" t="n"/>
      <c r="E41" s="438" t="n"/>
      <c r="F41" s="438" t="n"/>
      <c r="G41" s="438" t="n"/>
      <c r="H41" s="11" t="n"/>
      <c r="I41" s="12" t="n"/>
      <c r="J41" s="14" t="n"/>
      <c r="K41" s="1" t="n"/>
      <c r="L41" s="438" t="n"/>
      <c r="M41" s="13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>
      <c r="B42" s="5" t="n"/>
      <c r="C42" s="6" t="n"/>
      <c r="D42" s="6" t="n"/>
      <c r="E42" s="6" t="n"/>
      <c r="F42" s="6" t="n"/>
      <c r="G42" s="6" t="n"/>
      <c r="H42" s="40" t="n"/>
      <c r="I42" s="41" t="n"/>
      <c r="J42" s="42" t="n"/>
      <c r="K42" s="5" t="n"/>
      <c r="L42" s="6" t="n"/>
      <c r="M42" s="43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U43" s="5" t="n"/>
      <c r="V43" s="5" t="n"/>
    </row>
    <row r="44">
      <c r="U44" s="5" t="n"/>
      <c r="V44" s="5" t="n"/>
    </row>
    <row r="45">
      <c r="B45" s="5" t="n"/>
      <c r="C45" s="6" t="n"/>
      <c r="D45" s="6" t="n"/>
      <c r="E45" s="6" t="n"/>
      <c r="F45" s="6" t="n"/>
      <c r="G45" s="6" t="n"/>
      <c r="H45" s="40" t="n"/>
      <c r="I45" s="41" t="n"/>
      <c r="J45" s="42" t="n"/>
      <c r="K45" s="44" t="n"/>
      <c r="L45" s="44" t="n"/>
      <c r="M45" s="5" t="n"/>
      <c r="N45" s="6" t="n"/>
      <c r="O45" s="43" t="n"/>
      <c r="P45" s="5" t="n"/>
      <c r="Q45" s="5" t="n"/>
      <c r="R45" s="5" t="n"/>
      <c r="S45" s="5" t="n"/>
      <c r="T45" s="5" t="n"/>
      <c r="U45" s="5" t="n"/>
      <c r="V45" s="5" t="n"/>
    </row>
    <row r="46">
      <c r="B46" s="5" t="n"/>
      <c r="C46" s="6" t="n"/>
      <c r="D46" s="6" t="n"/>
      <c r="E46" s="6" t="n"/>
      <c r="F46" s="6" t="n"/>
      <c r="G46" s="6" t="n"/>
      <c r="H46" s="40" t="n"/>
      <c r="I46" s="41" t="n"/>
      <c r="J46" s="42" t="n"/>
      <c r="K46" s="44" t="n"/>
      <c r="L46" s="44" t="n"/>
      <c r="M46" s="5" t="n"/>
      <c r="N46" s="6" t="n"/>
      <c r="O46" s="43" t="n"/>
      <c r="P46" s="5" t="n"/>
      <c r="Q46" s="5" t="n"/>
      <c r="R46" s="5" t="n"/>
      <c r="S46" s="5" t="n"/>
      <c r="T46" s="5" t="n"/>
      <c r="U46" s="5" t="n"/>
      <c r="V46" s="5" t="n"/>
    </row>
    <row r="47">
      <c r="B47" s="5" t="n"/>
      <c r="C47" s="6" t="n"/>
      <c r="D47" s="6" t="n"/>
      <c r="E47" s="6" t="n"/>
      <c r="F47" s="6" t="n"/>
      <c r="G47" s="6" t="n"/>
      <c r="H47" s="40" t="n"/>
      <c r="I47" s="41" t="n"/>
      <c r="J47" s="42" t="n"/>
      <c r="K47" s="44" t="n"/>
      <c r="L47" s="44" t="n"/>
      <c r="M47" s="5" t="n"/>
      <c r="N47" s="6" t="n"/>
      <c r="O47" s="43" t="n"/>
      <c r="P47" s="5" t="n"/>
      <c r="Q47" s="5" t="n"/>
      <c r="R47" s="5" t="n"/>
      <c r="S47" s="5" t="n"/>
      <c r="T47" s="5" t="n"/>
      <c r="U47" s="5" t="n"/>
      <c r="V47" s="5" t="n"/>
    </row>
    <row r="48">
      <c r="B48" s="5" t="n"/>
      <c r="C48" s="43" t="n"/>
      <c r="D48" s="6" t="n"/>
      <c r="E48" s="6" t="n"/>
      <c r="F48" s="6" t="n"/>
      <c r="G48" s="6" t="n"/>
      <c r="H48" s="40" t="n"/>
      <c r="I48" s="41" t="n"/>
      <c r="J48" s="42" t="n"/>
      <c r="K48" s="44" t="n"/>
      <c r="L48" s="44" t="n"/>
      <c r="M48" s="5" t="n"/>
      <c r="N48" s="6" t="n"/>
      <c r="O48" s="43" t="n"/>
      <c r="P48" s="5" t="n"/>
      <c r="Q48" s="5" t="n"/>
      <c r="R48" s="5" t="n"/>
      <c r="S48" s="5" t="n"/>
      <c r="T48" s="5" t="n"/>
      <c r="U48" s="5" t="n"/>
      <c r="V48" s="5" t="n"/>
    </row>
    <row r="49">
      <c r="B49" s="5" t="n"/>
      <c r="C49" s="6" t="n"/>
      <c r="D49" s="6" t="n"/>
      <c r="E49" s="6" t="n"/>
      <c r="F49" s="6" t="n"/>
      <c r="G49" s="6" t="n"/>
      <c r="H49" s="40" t="n"/>
      <c r="I49" s="41" t="n"/>
      <c r="J49" s="42" t="n"/>
      <c r="K49" s="44" t="n"/>
      <c r="L49" s="44" t="n"/>
      <c r="M49" s="5" t="n"/>
      <c r="N49" s="6" t="n"/>
      <c r="O49" s="43" t="n"/>
      <c r="P49" s="5" t="n"/>
      <c r="Q49" s="5" t="n"/>
      <c r="R49" s="5" t="n"/>
      <c r="S49" s="5" t="n"/>
      <c r="T49" s="5" t="n"/>
      <c r="U49" s="5" t="n"/>
      <c r="V49" s="5" t="n"/>
    </row>
    <row r="50">
      <c r="B50" s="5" t="n"/>
      <c r="C50" s="6" t="n"/>
      <c r="D50" s="6" t="n"/>
      <c r="E50" s="6" t="n"/>
      <c r="F50" s="6" t="n"/>
      <c r="G50" s="6" t="n"/>
      <c r="H50" s="40" t="n"/>
      <c r="I50" s="41" t="n"/>
      <c r="J50" s="42" t="n"/>
      <c r="K50" s="44" t="n"/>
      <c r="L50" s="44" t="n"/>
      <c r="M50" s="5" t="n"/>
      <c r="N50" s="6" t="n"/>
      <c r="O50" s="43" t="n"/>
      <c r="P50" s="5" t="n"/>
      <c r="Q50" s="5" t="n"/>
      <c r="R50" s="5" t="n"/>
      <c r="S50" s="5" t="n"/>
      <c r="T50" s="5" t="n"/>
      <c r="U50" s="5" t="n"/>
      <c r="V50" s="5" t="n"/>
    </row>
    <row r="51">
      <c r="B51" s="5" t="n"/>
      <c r="C51" s="6" t="n"/>
      <c r="D51" s="6" t="n"/>
      <c r="E51" s="6" t="n"/>
      <c r="F51" s="6" t="n"/>
      <c r="G51" s="6" t="n"/>
      <c r="H51" s="40" t="n"/>
      <c r="I51" s="41" t="n"/>
      <c r="J51" s="42" t="n"/>
      <c r="K51" s="44" t="n"/>
      <c r="L51" s="44" t="n"/>
      <c r="M51" s="5" t="n"/>
      <c r="N51" s="6" t="n"/>
      <c r="O51" s="43" t="n"/>
      <c r="P51" s="5" t="n"/>
      <c r="Q51" s="5" t="n"/>
      <c r="R51" s="5" t="n"/>
      <c r="S51" s="5" t="n"/>
      <c r="T51" s="5" t="n"/>
      <c r="U51" s="5" t="n"/>
      <c r="V51" s="5" t="n"/>
    </row>
    <row r="52">
      <c r="B52" s="5" t="n"/>
      <c r="C52" s="6" t="n"/>
      <c r="D52" s="6" t="n"/>
      <c r="E52" s="6" t="n"/>
      <c r="F52" s="6" t="n"/>
      <c r="G52" s="6" t="n"/>
      <c r="H52" s="40" t="n"/>
      <c r="I52" s="41" t="n"/>
      <c r="J52" s="42" t="n"/>
      <c r="K52" s="44" t="n"/>
      <c r="L52" s="44" t="n"/>
      <c r="M52" s="5" t="n"/>
      <c r="N52" s="6" t="n"/>
      <c r="O52" s="43" t="n"/>
      <c r="P52" s="5" t="n"/>
      <c r="Q52" s="5" t="n"/>
      <c r="R52" s="5" t="n"/>
      <c r="S52" s="5" t="n"/>
      <c r="T52" s="5" t="n"/>
      <c r="U52" s="5" t="n"/>
      <c r="V52" s="5" t="n"/>
    </row>
    <row r="53">
      <c r="B53" s="5" t="n"/>
      <c r="C53" s="6" t="n"/>
      <c r="D53" s="6" t="n"/>
      <c r="E53" s="6" t="n"/>
      <c r="F53" s="6" t="n"/>
      <c r="G53" s="6" t="n"/>
      <c r="H53" s="40" t="n"/>
      <c r="I53" s="41" t="n"/>
      <c r="J53" s="41" t="n"/>
      <c r="K53" s="44" t="n"/>
      <c r="L53" s="45" t="n"/>
      <c r="M53" s="5" t="n"/>
      <c r="N53" s="6" t="n"/>
      <c r="O53" s="43" t="n"/>
      <c r="P53" s="5" t="n"/>
      <c r="Q53" s="5" t="n"/>
      <c r="R53" s="5" t="n"/>
      <c r="S53" s="5" t="n"/>
      <c r="T53" s="5" t="n"/>
      <c r="U53" s="5" t="n"/>
      <c r="V53" s="5" t="n"/>
    </row>
    <row r="54">
      <c r="P54" s="5" t="n"/>
      <c r="Q54" s="5" t="n"/>
    </row>
    <row r="55">
      <c r="P55" s="5" t="n"/>
      <c r="Q55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Q41"/>
  <sheetViews>
    <sheetView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5" sqref="E35"/>
    </sheetView>
  </sheetViews>
  <sheetFormatPr baseColWidth="10" defaultColWidth="8.83203125" defaultRowHeight="15"/>
  <cols>
    <col width="3.83203125" customWidth="1" style="348" min="1" max="1"/>
    <col width="27" customWidth="1" min="5" max="5"/>
  </cols>
  <sheetData>
    <row r="1" customFormat="1" s="348">
      <c r="B1" s="350" t="n"/>
      <c r="C1" s="351" t="n"/>
      <c r="D1" s="351" t="n"/>
      <c r="E1" s="351" t="n"/>
      <c r="F1" s="351" t="n"/>
      <c r="G1" s="352" t="n"/>
      <c r="H1" s="353" t="n"/>
      <c r="I1" s="353" t="n"/>
    </row>
    <row r="2">
      <c r="B2" s="1" t="n"/>
      <c r="C2" s="4" t="n"/>
      <c r="D2" s="4" t="n"/>
      <c r="E2" s="438" t="n"/>
      <c r="F2" s="438" t="n"/>
      <c r="G2" s="438" t="n"/>
      <c r="H2" s="438" t="n"/>
      <c r="I2" s="438" t="n"/>
      <c r="J2" s="17" t="n"/>
      <c r="K2" s="17" t="n"/>
      <c r="L2" s="17" t="n"/>
      <c r="M2" s="17" t="n"/>
      <c r="N2" s="17" t="n"/>
      <c r="O2" s="17" t="n"/>
      <c r="P2" s="17" t="n"/>
      <c r="Q2" s="17" t="n"/>
    </row>
    <row r="3">
      <c r="B3" s="1" t="n"/>
      <c r="C3" s="438" t="n"/>
      <c r="D3" s="438" t="n"/>
      <c r="E3" s="438" t="n"/>
      <c r="F3" s="438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</row>
    <row r="4">
      <c r="B4" s="1" t="n"/>
      <c r="C4" s="7" t="inlineStr">
        <is>
          <t>Year</t>
        </is>
      </c>
      <c r="D4" s="7" t="inlineStr">
        <is>
          <t>Month</t>
        </is>
      </c>
      <c r="E4" s="7" t="inlineStr">
        <is>
          <t>Trendbased forecast</t>
        </is>
      </c>
      <c r="F4" s="438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</row>
    <row r="5">
      <c r="B5" s="1" t="n"/>
      <c r="C5" s="438" t="n">
        <v>1</v>
      </c>
      <c r="D5" s="438" t="inlineStr">
        <is>
          <t>Jan</t>
        </is>
      </c>
      <c r="E5" s="55" t="n"/>
      <c r="F5" s="21" t="n">
        <v>1</v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</row>
    <row r="6">
      <c r="B6" s="1" t="n"/>
      <c r="C6" s="438" t="n"/>
      <c r="D6" s="438" t="inlineStr">
        <is>
          <t>Feb</t>
        </is>
      </c>
      <c r="E6" s="55" t="n"/>
      <c r="F6" s="21" t="n">
        <v>2</v>
      </c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</row>
    <row r="7">
      <c r="B7" s="1" t="n"/>
      <c r="C7" s="438" t="n"/>
      <c r="D7" s="438" t="inlineStr">
        <is>
          <t>Mar</t>
        </is>
      </c>
      <c r="E7" s="55" t="n"/>
      <c r="F7" s="21" t="n">
        <v>3</v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>
      <c r="B8" s="1" t="n"/>
      <c r="C8" s="438" t="n"/>
      <c r="D8" s="438" t="inlineStr">
        <is>
          <t>Apr</t>
        </is>
      </c>
      <c r="E8" s="55" t="n"/>
      <c r="F8" s="21" t="n">
        <v>4</v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</row>
    <row r="9">
      <c r="B9" s="1" t="n"/>
      <c r="C9" s="438" t="n"/>
      <c r="D9" s="438" t="inlineStr">
        <is>
          <t>May</t>
        </is>
      </c>
      <c r="E9" s="55" t="n"/>
      <c r="F9" s="21" t="n">
        <v>5</v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</row>
    <row r="10">
      <c r="B10" s="1" t="n"/>
      <c r="C10" s="438" t="n"/>
      <c r="D10" s="438" t="inlineStr">
        <is>
          <t>Jun</t>
        </is>
      </c>
      <c r="E10" s="55" t="n"/>
      <c r="F10" s="21" t="n">
        <v>6</v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</row>
    <row r="11">
      <c r="B11" s="1" t="n"/>
      <c r="C11" s="438" t="n"/>
      <c r="D11" s="438" t="inlineStr">
        <is>
          <t>Jul</t>
        </is>
      </c>
      <c r="E11" s="55" t="n"/>
      <c r="F11" s="21" t="n">
        <v>7</v>
      </c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</row>
    <row r="12">
      <c r="B12" s="1" t="n"/>
      <c r="C12" s="438" t="n"/>
      <c r="D12" s="438" t="inlineStr">
        <is>
          <t>Aug</t>
        </is>
      </c>
      <c r="E12" s="55" t="n"/>
      <c r="F12" s="21" t="n">
        <v>8</v>
      </c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</row>
    <row r="13">
      <c r="B13" s="1" t="n"/>
      <c r="C13" s="438" t="n"/>
      <c r="D13" s="438" t="inlineStr">
        <is>
          <t>Sep</t>
        </is>
      </c>
      <c r="E13" s="55" t="n"/>
      <c r="F13" s="21" t="n">
        <v>9</v>
      </c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</row>
    <row r="14">
      <c r="B14" s="1" t="n"/>
      <c r="C14" s="438" t="n"/>
      <c r="D14" s="438" t="inlineStr">
        <is>
          <t>Oct</t>
        </is>
      </c>
      <c r="E14" s="55" t="n"/>
      <c r="F14" s="21" t="n">
        <v>10</v>
      </c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</row>
    <row r="15">
      <c r="B15" s="1" t="n"/>
      <c r="C15" s="438" t="n"/>
      <c r="D15" s="438" t="inlineStr">
        <is>
          <t>Nov</t>
        </is>
      </c>
      <c r="E15" s="55" t="n"/>
      <c r="F15" s="21" t="n">
        <v>11</v>
      </c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</row>
    <row r="16">
      <c r="B16" s="1" t="n"/>
      <c r="C16" s="438" t="n"/>
      <c r="D16" s="438" t="inlineStr">
        <is>
          <t>Dec</t>
        </is>
      </c>
      <c r="E16" s="55" t="n"/>
      <c r="F16" s="21" t="n">
        <v>12</v>
      </c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</row>
    <row r="17">
      <c r="B17" s="1" t="n"/>
      <c r="C17" s="15" t="n">
        <v>2</v>
      </c>
      <c r="D17" s="15" t="inlineStr">
        <is>
          <t>Jan</t>
        </is>
      </c>
      <c r="E17" s="55" t="n"/>
      <c r="F17" s="21" t="n">
        <v>13</v>
      </c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</row>
    <row r="18">
      <c r="B18" s="1" t="n"/>
      <c r="C18" s="15" t="n"/>
      <c r="D18" s="15" t="inlineStr">
        <is>
          <t>Feb</t>
        </is>
      </c>
      <c r="E18" s="55" t="n"/>
      <c r="F18" s="21" t="n">
        <v>14</v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</row>
    <row r="19">
      <c r="B19" s="1" t="n"/>
      <c r="C19" s="15" t="n"/>
      <c r="D19" s="15" t="inlineStr">
        <is>
          <t>Mar</t>
        </is>
      </c>
      <c r="E19" s="55" t="n"/>
      <c r="F19" s="21" t="n">
        <v>15</v>
      </c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</row>
    <row r="20">
      <c r="B20" s="1" t="n"/>
      <c r="C20" s="15" t="n"/>
      <c r="D20" s="15" t="inlineStr">
        <is>
          <t>Apr</t>
        </is>
      </c>
      <c r="E20" s="55" t="n"/>
      <c r="F20" s="21" t="n">
        <v>16</v>
      </c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</row>
    <row r="21">
      <c r="B21" s="1" t="n"/>
      <c r="C21" s="15" t="n"/>
      <c r="D21" s="15" t="inlineStr">
        <is>
          <t>May</t>
        </is>
      </c>
      <c r="E21" s="55" t="n"/>
      <c r="F21" s="21" t="n">
        <v>17</v>
      </c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</row>
    <row r="22">
      <c r="B22" s="1" t="n"/>
      <c r="C22" s="15" t="n"/>
      <c r="D22" s="15" t="inlineStr">
        <is>
          <t>Jun</t>
        </is>
      </c>
      <c r="E22" s="55" t="n"/>
      <c r="F22" s="21" t="n">
        <v>18</v>
      </c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</row>
    <row r="23">
      <c r="B23" s="1" t="n"/>
      <c r="C23" s="15" t="n"/>
      <c r="D23" s="15" t="inlineStr">
        <is>
          <t>Jul</t>
        </is>
      </c>
      <c r="E23" s="55" t="n"/>
      <c r="F23" s="21" t="n">
        <v>19</v>
      </c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</row>
    <row r="24">
      <c r="B24" s="1" t="n"/>
      <c r="C24" s="15" t="n"/>
      <c r="D24" s="15" t="inlineStr">
        <is>
          <t>Aug</t>
        </is>
      </c>
      <c r="E24" s="55" t="n"/>
      <c r="F24" s="21" t="n">
        <v>20</v>
      </c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</row>
    <row r="25">
      <c r="B25" s="1" t="n"/>
      <c r="C25" s="15" t="n"/>
      <c r="D25" s="15" t="inlineStr">
        <is>
          <t>Sep</t>
        </is>
      </c>
      <c r="E25" s="55" t="n"/>
      <c r="F25" s="21" t="n">
        <v>21</v>
      </c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</row>
    <row r="26">
      <c r="B26" s="1" t="n"/>
      <c r="C26" s="15" t="n"/>
      <c r="D26" s="15" t="inlineStr">
        <is>
          <t>Oct</t>
        </is>
      </c>
      <c r="E26" s="55" t="n"/>
      <c r="F26" s="21" t="n">
        <v>22</v>
      </c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</row>
    <row r="27">
      <c r="B27" s="1" t="n"/>
      <c r="C27" s="15" t="n"/>
      <c r="D27" s="15" t="inlineStr">
        <is>
          <t>Nov</t>
        </is>
      </c>
      <c r="E27" s="55" t="n"/>
      <c r="F27" s="21" t="n">
        <v>23</v>
      </c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</row>
    <row r="28">
      <c r="B28" s="1" t="n"/>
      <c r="C28" s="15" t="n"/>
      <c r="D28" s="15" t="inlineStr">
        <is>
          <t>Dec</t>
        </is>
      </c>
      <c r="E28" s="55" t="n"/>
      <c r="F28" s="21" t="n">
        <v>24</v>
      </c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</row>
    <row r="29">
      <c r="B29" s="1" t="n"/>
      <c r="C29" s="438" t="n">
        <v>3</v>
      </c>
      <c r="D29" s="438" t="inlineStr">
        <is>
          <t>Jan</t>
        </is>
      </c>
      <c r="E29" s="55" t="n"/>
      <c r="F29" s="21" t="n">
        <v>25</v>
      </c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</row>
    <row r="30">
      <c r="B30" s="1" t="n"/>
      <c r="C30" s="438" t="n"/>
      <c r="D30" s="438" t="inlineStr">
        <is>
          <t>Feb</t>
        </is>
      </c>
      <c r="E30" s="55" t="n"/>
      <c r="F30" s="21" t="n">
        <v>26</v>
      </c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</row>
    <row r="31">
      <c r="B31" s="1" t="n"/>
      <c r="C31" s="438" t="n"/>
      <c r="D31" s="438" t="inlineStr">
        <is>
          <t>Mar</t>
        </is>
      </c>
      <c r="E31" s="55" t="n"/>
      <c r="F31" s="21" t="n">
        <v>27</v>
      </c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</row>
    <row r="32">
      <c r="B32" s="1" t="n"/>
      <c r="C32" s="438" t="n"/>
      <c r="D32" s="438" t="inlineStr">
        <is>
          <t>Apr</t>
        </is>
      </c>
      <c r="E32" s="55" t="n"/>
      <c r="F32" s="21" t="n">
        <v>28</v>
      </c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</row>
    <row r="33">
      <c r="B33" s="1" t="n"/>
      <c r="C33" s="438" t="n"/>
      <c r="D33" s="438" t="inlineStr">
        <is>
          <t>May</t>
        </is>
      </c>
      <c r="E33" s="55" t="n"/>
      <c r="F33" s="21" t="n">
        <v>29</v>
      </c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</row>
    <row r="34">
      <c r="B34" s="1" t="n"/>
      <c r="C34" s="438" t="n"/>
      <c r="D34" s="438" t="inlineStr">
        <is>
          <t>Jun</t>
        </is>
      </c>
      <c r="E34" s="55" t="n"/>
      <c r="F34" s="21" t="n">
        <v>30</v>
      </c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</row>
    <row r="35">
      <c r="B35" s="1" t="n"/>
      <c r="C35" s="438" t="n"/>
      <c r="D35" s="438" t="inlineStr">
        <is>
          <t>Jul</t>
        </is>
      </c>
      <c r="E35" s="418" t="n"/>
      <c r="F35" s="21" t="n">
        <v>31</v>
      </c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</row>
    <row r="36">
      <c r="B36" s="1" t="n"/>
      <c r="C36" s="13" t="n"/>
      <c r="D36" s="438" t="inlineStr">
        <is>
          <t>Aug</t>
        </is>
      </c>
      <c r="E36" s="55" t="n"/>
      <c r="F36" s="21" t="n">
        <v>32</v>
      </c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</row>
    <row r="37">
      <c r="B37" s="1" t="n"/>
      <c r="C37" s="438" t="n"/>
      <c r="D37" s="438" t="inlineStr">
        <is>
          <t>Sep</t>
        </is>
      </c>
      <c r="E37" s="55" t="n"/>
      <c r="F37" s="21" t="n">
        <v>33</v>
      </c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</row>
    <row r="38">
      <c r="B38" s="1" t="n"/>
      <c r="C38" s="438" t="n"/>
      <c r="D38" s="438" t="inlineStr">
        <is>
          <t>Oct</t>
        </is>
      </c>
      <c r="E38" s="55" t="n"/>
      <c r="F38" s="21" t="n">
        <v>34</v>
      </c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</row>
    <row r="39">
      <c r="B39" s="1" t="n"/>
      <c r="C39" s="438" t="n"/>
      <c r="D39" s="438" t="inlineStr">
        <is>
          <t>Nov</t>
        </is>
      </c>
      <c r="E39" s="55" t="n"/>
      <c r="F39" s="21" t="n">
        <v>35</v>
      </c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</row>
    <row r="40">
      <c r="B40" s="1" t="n"/>
      <c r="C40" s="438" t="n"/>
      <c r="D40" s="438" t="inlineStr">
        <is>
          <t>Dec</t>
        </is>
      </c>
      <c r="E40" s="55" t="n"/>
      <c r="F40" s="21" t="n">
        <v>36</v>
      </c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</row>
    <row r="41">
      <c r="B41" s="1" t="n"/>
      <c r="C41" s="438" t="n"/>
      <c r="D41" s="438" t="n"/>
      <c r="E41" s="438" t="n"/>
      <c r="F41" s="438" t="n"/>
      <c r="G41" s="11" t="n"/>
      <c r="H41" s="12" t="n"/>
      <c r="I41" s="14" t="n"/>
      <c r="J41" s="17" t="n"/>
      <c r="K41" s="17" t="n"/>
      <c r="L41" s="17" t="n"/>
      <c r="M41" s="17" t="n"/>
      <c r="N41" s="17" t="n"/>
      <c r="O41" s="17" t="n"/>
      <c r="P41" s="17" t="n"/>
      <c r="Q41" s="1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7">
    <outlinePr summaryBelow="1" summaryRight="1"/>
    <pageSetUpPr/>
  </sheetPr>
  <dimension ref="A1:O821"/>
  <sheetViews>
    <sheetView showGridLines="0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2" sqref="E22:F22"/>
    </sheetView>
  </sheetViews>
  <sheetFormatPr baseColWidth="10" defaultColWidth="13.1640625" defaultRowHeight="15"/>
  <cols>
    <col width="3.6640625" customWidth="1" style="348" min="1" max="1"/>
    <col width="3.6640625" customWidth="1" min="2" max="2"/>
    <col width="26" customWidth="1" min="3" max="3"/>
    <col width="29.1640625" customWidth="1" min="4" max="4"/>
    <col width="9.33203125" customWidth="1" min="5" max="5"/>
    <col width="13.1640625" customWidth="1" style="16" min="9" max="9"/>
    <col width="13.1640625" customWidth="1" style="16" min="10" max="10"/>
    <col width="14" customWidth="1" style="16" min="11" max="11"/>
    <col width="14.33203125" bestFit="1" customWidth="1" style="16" min="12" max="12"/>
    <col width="13.1640625" customWidth="1" style="16" min="13" max="13"/>
    <col width="14.33203125" bestFit="1" customWidth="1" min="14" max="14"/>
  </cols>
  <sheetData>
    <row r="1" customFormat="1" s="348"/>
    <row r="2"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</row>
    <row r="3">
      <c r="C3" s="439" t="inlineStr">
        <is>
          <t>Units</t>
        </is>
      </c>
      <c r="D3" s="439" t="inlineStr">
        <is>
          <t>Price</t>
        </is>
      </c>
      <c r="E3" s="439" t="n"/>
      <c r="F3" s="439" t="n"/>
      <c r="G3" s="17" t="n"/>
      <c r="H3" s="17" t="n"/>
      <c r="I3" s="439" t="inlineStr">
        <is>
          <t>Alternative</t>
        </is>
      </c>
      <c r="J3" s="439" t="inlineStr">
        <is>
          <t>Total number</t>
        </is>
      </c>
      <c r="K3" s="439" t="inlineStr">
        <is>
          <t>Total costs</t>
        </is>
      </c>
      <c r="L3" s="439" t="inlineStr">
        <is>
          <t>Total costs</t>
        </is>
      </c>
      <c r="M3" s="439" t="inlineStr">
        <is>
          <t>Total costs</t>
        </is>
      </c>
      <c r="N3" s="439" t="inlineStr">
        <is>
          <t>Total costs</t>
        </is>
      </c>
      <c r="O3" s="17" t="n"/>
    </row>
    <row r="4">
      <c r="C4" s="439" t="inlineStr">
        <is>
          <t>in pieces</t>
        </is>
      </c>
      <c r="D4" s="439" t="inlineStr">
        <is>
          <t>in CHF</t>
        </is>
      </c>
      <c r="E4" s="439" t="n"/>
      <c r="F4" s="439" t="n"/>
      <c r="G4" s="439" t="n"/>
      <c r="H4" s="439" t="n"/>
      <c r="I4" s="439" t="inlineStr">
        <is>
          <t>order</t>
        </is>
      </c>
      <c r="J4" s="439" t="inlineStr">
        <is>
          <t>of orders</t>
        </is>
      </c>
      <c r="K4" s="439" t="inlineStr">
        <is>
          <t>for 1-4</t>
        </is>
      </c>
      <c r="L4" s="439" t="inlineStr">
        <is>
          <t>for 5-9</t>
        </is>
      </c>
      <c r="M4" s="439" t="inlineStr">
        <is>
          <t>for 10-19</t>
        </is>
      </c>
      <c r="N4" s="439" t="inlineStr">
        <is>
          <t>for 20 or more</t>
        </is>
      </c>
      <c r="O4" s="17" t="n"/>
    </row>
    <row r="5">
      <c r="C5" s="363" t="inlineStr">
        <is>
          <t>1 - 4</t>
        </is>
      </c>
      <c r="D5" s="439" t="n">
        <v>5.5</v>
      </c>
      <c r="E5" s="439" t="n"/>
      <c r="F5" s="439" t="n"/>
      <c r="G5" s="364" t="n"/>
      <c r="H5" s="364" t="n"/>
      <c r="I5" s="440" t="inlineStr">
        <is>
          <t>quantities</t>
        </is>
      </c>
      <c r="J5" s="440" t="inlineStr">
        <is>
          <t>per year</t>
        </is>
      </c>
      <c r="K5" s="440" t="inlineStr">
        <is>
          <t>units</t>
        </is>
      </c>
      <c r="L5" s="440" t="inlineStr">
        <is>
          <t>units</t>
        </is>
      </c>
      <c r="M5" s="440" t="inlineStr">
        <is>
          <t>units</t>
        </is>
      </c>
      <c r="N5" s="440" t="inlineStr">
        <is>
          <t>units</t>
        </is>
      </c>
      <c r="O5" s="17" t="n"/>
    </row>
    <row r="6">
      <c r="C6" s="363" t="inlineStr">
        <is>
          <t>5 - 9</t>
        </is>
      </c>
      <c r="D6" s="439" t="n">
        <v>5</v>
      </c>
      <c r="E6" s="439" t="n"/>
      <c r="F6" s="365" t="n"/>
      <c r="G6" s="366" t="n"/>
      <c r="H6" s="366" t="n"/>
      <c r="I6" s="439" t="n">
        <v>1</v>
      </c>
      <c r="J6" s="475" t="n"/>
      <c r="K6" s="30" t="n"/>
      <c r="L6" s="30" t="n"/>
      <c r="M6" s="30" t="n"/>
      <c r="N6" s="30" t="n"/>
      <c r="O6" s="17" t="n"/>
    </row>
    <row r="7">
      <c r="C7" s="363" t="inlineStr">
        <is>
          <t>10 - 19</t>
        </is>
      </c>
      <c r="D7" s="439" t="n">
        <v>4.7</v>
      </c>
      <c r="E7" s="439" t="n"/>
      <c r="F7" s="365" t="n"/>
      <c r="G7" s="366" t="n"/>
      <c r="H7" s="366" t="n"/>
      <c r="I7" s="439" t="n">
        <v>2</v>
      </c>
      <c r="J7" s="475" t="n"/>
      <c r="K7" s="30" t="n"/>
      <c r="L7" s="30" t="n"/>
      <c r="M7" s="30" t="n"/>
      <c r="N7" s="30" t="n"/>
      <c r="O7" s="17" t="n"/>
    </row>
    <row r="8">
      <c r="C8" s="439" t="inlineStr">
        <is>
          <t>20 or more</t>
        </is>
      </c>
      <c r="D8" s="439" t="n">
        <v>4.5</v>
      </c>
      <c r="E8" s="439" t="n"/>
      <c r="F8" s="365" t="n"/>
      <c r="G8" s="366" t="n"/>
      <c r="H8" s="366" t="n"/>
      <c r="I8" s="439" t="n">
        <v>3</v>
      </c>
      <c r="J8" s="475" t="n"/>
      <c r="K8" s="30" t="n"/>
      <c r="L8" s="30" t="n"/>
      <c r="M8" s="30" t="n"/>
      <c r="N8" s="30" t="n"/>
      <c r="O8" s="17" t="n"/>
    </row>
    <row r="9">
      <c r="C9" s="17" t="n"/>
      <c r="D9" s="17" t="n"/>
      <c r="E9" s="17" t="n"/>
      <c r="F9" s="17" t="n"/>
      <c r="G9" s="17" t="n"/>
      <c r="H9" s="17" t="n"/>
      <c r="I9" s="439" t="n">
        <v>4</v>
      </c>
      <c r="J9" s="475" t="n"/>
      <c r="K9" s="30" t="n"/>
      <c r="L9" s="30" t="n"/>
      <c r="M9" s="30" t="n"/>
      <c r="N9" s="30" t="n"/>
      <c r="O9" s="17" t="n"/>
    </row>
    <row r="10">
      <c r="C10" s="17" t="inlineStr">
        <is>
          <t>Annual demand</t>
        </is>
      </c>
      <c r="D10" s="17" t="n"/>
      <c r="E10" s="17" t="n">
        <v>200</v>
      </c>
      <c r="F10" s="17" t="inlineStr">
        <is>
          <t>units</t>
        </is>
      </c>
      <c r="G10" s="17" t="n"/>
      <c r="H10" s="17" t="n"/>
      <c r="I10" s="439" t="n">
        <v>5</v>
      </c>
      <c r="J10" s="475" t="n"/>
      <c r="K10" s="30" t="n"/>
      <c r="L10" s="30" t="n"/>
      <c r="M10" s="30" t="n"/>
      <c r="N10" s="30" t="n"/>
      <c r="O10" s="17" t="n"/>
    </row>
    <row r="11">
      <c r="C11" s="17" t="inlineStr">
        <is>
          <t>Order costs per order</t>
        </is>
      </c>
      <c r="D11" s="17" t="n"/>
      <c r="E11" s="17" t="n">
        <v>5</v>
      </c>
      <c r="F11" s="17" t="inlineStr">
        <is>
          <t>CHF</t>
        </is>
      </c>
      <c r="G11" s="17" t="n"/>
      <c r="H11" s="17" t="n"/>
      <c r="I11" s="439" t="n">
        <v>6</v>
      </c>
      <c r="J11" s="475" t="n"/>
      <c r="K11" s="30" t="n"/>
      <c r="L11" s="30" t="n"/>
      <c r="M11" s="30" t="n"/>
      <c r="N11" s="30" t="n"/>
      <c r="O11" s="17" t="n"/>
    </row>
    <row r="12">
      <c r="C12" s="17" t="inlineStr">
        <is>
          <t>Holding costs per unit and year</t>
        </is>
      </c>
      <c r="D12" s="17" t="n"/>
      <c r="E12" s="476" t="n">
        <v>20</v>
      </c>
      <c r="F12" s="17" t="inlineStr">
        <is>
          <t>CHF per unit and year</t>
        </is>
      </c>
      <c r="G12" s="17" t="n"/>
      <c r="H12" s="17" t="n"/>
      <c r="I12" s="439" t="n">
        <v>7</v>
      </c>
      <c r="J12" s="475" t="n"/>
      <c r="K12" s="30" t="n"/>
      <c r="L12" s="30" t="n"/>
      <c r="M12" s="30" t="n"/>
      <c r="N12" s="30" t="n"/>
      <c r="O12" s="17" t="n"/>
    </row>
    <row r="13">
      <c r="C13" s="17" t="n"/>
      <c r="D13" s="17" t="n"/>
      <c r="E13" s="17" t="n"/>
      <c r="F13" s="17" t="n"/>
      <c r="G13" s="17" t="n"/>
      <c r="H13" s="17" t="n"/>
      <c r="I13" s="439" t="n">
        <v>8</v>
      </c>
      <c r="J13" s="475" t="n"/>
      <c r="K13" s="30" t="n"/>
      <c r="L13" s="30" t="n"/>
      <c r="M13" s="30" t="n"/>
      <c r="N13" s="30" t="n"/>
      <c r="O13" s="17" t="n"/>
    </row>
    <row r="14">
      <c r="C14" s="17" t="inlineStr">
        <is>
          <t>Optimal order quantity (considering discounts)</t>
        </is>
      </c>
      <c r="D14" s="17" t="n"/>
      <c r="E14" s="61" t="n"/>
      <c r="F14" s="17" t="n"/>
      <c r="G14" s="17" t="n"/>
      <c r="H14" s="17" t="n"/>
      <c r="I14" s="439" t="n">
        <v>9</v>
      </c>
      <c r="J14" s="475" t="n"/>
      <c r="K14" s="30" t="n"/>
      <c r="L14" s="30" t="n"/>
      <c r="M14" s="30" t="n"/>
      <c r="N14" s="30" t="n"/>
      <c r="O14" s="17" t="n"/>
    </row>
    <row r="15">
      <c r="C15" s="17" t="n"/>
      <c r="D15" s="17" t="n"/>
      <c r="E15" s="17" t="n"/>
      <c r="F15" s="17" t="n"/>
      <c r="G15" s="17" t="n"/>
      <c r="H15" s="17" t="n"/>
      <c r="I15" s="439" t="n">
        <v>10</v>
      </c>
      <c r="J15" s="475" t="n"/>
      <c r="K15" s="30" t="n"/>
      <c r="L15" s="30" t="n"/>
      <c r="M15" s="30" t="n"/>
      <c r="N15" s="30" t="n"/>
      <c r="O15" s="17" t="n"/>
    </row>
    <row r="16">
      <c r="C16" s="1" t="n"/>
      <c r="D16" s="1" t="n"/>
      <c r="E16" s="17">
        <f>SQRT(E10*2*E11/E12)</f>
        <v/>
      </c>
      <c r="F16" s="1" t="n"/>
      <c r="G16" s="17" t="n"/>
      <c r="H16" s="17" t="n"/>
      <c r="I16" s="439" t="n">
        <v>11</v>
      </c>
      <c r="J16" s="475" t="n"/>
      <c r="K16" s="30" t="n"/>
      <c r="L16" s="30" t="n"/>
      <c r="M16" s="30" t="n"/>
      <c r="N16" s="30" t="n"/>
      <c r="O16" s="17" t="n"/>
    </row>
    <row r="17">
      <c r="C17" s="17" t="n"/>
      <c r="D17" s="17" t="n"/>
      <c r="E17" s="17" t="n"/>
      <c r="F17" s="17" t="n"/>
      <c r="G17" s="17" t="n"/>
      <c r="H17" s="17" t="n"/>
      <c r="I17" s="439" t="n">
        <v>12</v>
      </c>
      <c r="J17" s="475" t="n"/>
      <c r="K17" s="30" t="n"/>
      <c r="L17" s="30" t="n"/>
      <c r="M17" s="30" t="n"/>
      <c r="N17" s="30" t="n"/>
      <c r="O17" s="17" t="n"/>
    </row>
    <row r="18">
      <c r="C18" s="17" t="n"/>
      <c r="D18" s="17" t="n"/>
      <c r="E18" s="157" t="n"/>
      <c r="F18" s="17" t="n"/>
      <c r="G18" s="17" t="n"/>
      <c r="H18" s="17" t="n"/>
      <c r="I18" s="439" t="n">
        <v>13</v>
      </c>
      <c r="J18" s="475" t="n"/>
      <c r="K18" s="30" t="n"/>
      <c r="L18" s="30" t="n"/>
      <c r="M18" s="30" t="n"/>
      <c r="N18" s="30" t="n"/>
      <c r="O18" s="17" t="n"/>
    </row>
    <row r="19">
      <c r="C19" s="17" t="n"/>
      <c r="D19" s="17" t="n"/>
      <c r="E19" s="477" t="n"/>
      <c r="F19" s="17" t="n"/>
      <c r="G19" s="17" t="n"/>
      <c r="H19" s="17" t="n"/>
      <c r="I19" s="439" t="n">
        <v>14</v>
      </c>
      <c r="J19" s="475" t="n"/>
      <c r="K19" s="30" t="n"/>
      <c r="L19" s="30" t="n"/>
      <c r="M19" s="30" t="n"/>
      <c r="N19" s="30" t="n"/>
      <c r="O19" s="17" t="n"/>
    </row>
    <row r="20">
      <c r="C20" s="17" t="n"/>
      <c r="D20" s="17" t="n"/>
      <c r="E20" s="17" t="n"/>
      <c r="F20" s="17" t="n"/>
      <c r="G20" s="17" t="n"/>
      <c r="H20" s="17" t="n"/>
      <c r="I20" s="439" t="n">
        <v>15</v>
      </c>
      <c r="J20" s="475" t="n"/>
      <c r="K20" s="30" t="n"/>
      <c r="L20" s="30" t="n"/>
      <c r="M20" s="30" t="n"/>
      <c r="N20" s="30" t="n"/>
      <c r="O20" s="17" t="n"/>
    </row>
    <row r="21">
      <c r="C21" s="17" t="n"/>
      <c r="D21" s="17" t="n"/>
      <c r="E21" s="17" t="n"/>
      <c r="F21" s="17" t="n"/>
      <c r="G21" s="17" t="n"/>
      <c r="H21" s="17" t="n"/>
      <c r="I21" s="439" t="n">
        <v>16</v>
      </c>
      <c r="J21" s="475" t="n"/>
      <c r="K21" s="30" t="n"/>
      <c r="L21" s="30" t="n"/>
      <c r="M21" s="30" t="n"/>
      <c r="N21" s="30" t="n"/>
      <c r="O21" s="17" t="n"/>
    </row>
    <row r="22">
      <c r="C22" s="17" t="n"/>
      <c r="D22" s="17" t="n"/>
      <c r="E22" s="419" t="n"/>
      <c r="F22" s="478" t="n"/>
      <c r="G22" s="17" t="n"/>
      <c r="H22" s="17" t="n"/>
      <c r="I22" s="439" t="n">
        <v>17</v>
      </c>
      <c r="J22" s="475" t="n"/>
      <c r="K22" s="30" t="n"/>
      <c r="L22" s="30" t="n"/>
      <c r="M22" s="30" t="n"/>
      <c r="N22" s="30" t="n"/>
      <c r="O22" s="17" t="n"/>
    </row>
    <row r="23">
      <c r="C23" s="17" t="n"/>
      <c r="D23" s="17" t="n"/>
      <c r="E23" s="17" t="n">
        <v>20</v>
      </c>
      <c r="F23" s="479">
        <f>E23/2*$E$12+$E$10/E23*$E$11+200*D8</f>
        <v/>
      </c>
      <c r="G23" s="17" t="n"/>
      <c r="H23" s="17" t="n"/>
      <c r="I23" s="439" t="n">
        <v>18</v>
      </c>
      <c r="J23" s="475" t="n"/>
      <c r="K23" s="30" t="n"/>
      <c r="L23" s="30" t="n"/>
      <c r="M23" s="30" t="n"/>
      <c r="N23" s="30" t="n"/>
      <c r="O23" s="17" t="n"/>
    </row>
    <row r="24">
      <c r="C24" s="17" t="n"/>
      <c r="D24" s="17" t="n"/>
      <c r="E24" s="17" t="n"/>
      <c r="F24" s="17" t="n"/>
      <c r="G24" s="17" t="n"/>
      <c r="H24" s="17" t="n"/>
      <c r="I24" s="439" t="n">
        <v>19</v>
      </c>
      <c r="J24" s="475" t="n"/>
      <c r="K24" s="30" t="n"/>
      <c r="L24" s="30" t="n"/>
      <c r="M24" s="30" t="n"/>
      <c r="N24" s="225" t="n"/>
      <c r="O24" s="17" t="n"/>
    </row>
    <row r="25">
      <c r="C25" s="17" t="n"/>
      <c r="D25" s="17" t="n"/>
      <c r="E25" s="17" t="n"/>
      <c r="F25" s="17" t="n"/>
      <c r="G25" s="17" t="n"/>
      <c r="H25" s="17" t="n"/>
      <c r="I25" s="439" t="n">
        <v>20</v>
      </c>
      <c r="J25" s="475" t="n"/>
      <c r="K25" s="30" t="n"/>
      <c r="L25" s="30" t="n"/>
      <c r="M25" s="30" t="n"/>
      <c r="N25" s="30" t="n"/>
      <c r="O25" s="17" t="n"/>
    </row>
    <row r="26">
      <c r="C26" s="17" t="n"/>
      <c r="D26" s="17" t="n"/>
      <c r="E26" s="17" t="n"/>
      <c r="F26" s="17" t="n"/>
      <c r="G26" s="17" t="n"/>
      <c r="H26" s="17" t="n"/>
      <c r="I26" s="439" t="n">
        <v>21</v>
      </c>
      <c r="J26" s="475" t="n"/>
      <c r="K26" s="30" t="n"/>
      <c r="L26" s="30" t="n"/>
      <c r="M26" s="30" t="n"/>
      <c r="N26" s="30" t="n"/>
      <c r="O26" s="17" t="n"/>
    </row>
    <row r="27">
      <c r="C27" s="17" t="n"/>
      <c r="D27" s="17" t="n"/>
      <c r="E27" s="17" t="n"/>
      <c r="F27" s="17" t="n"/>
      <c r="G27" s="17" t="n"/>
      <c r="H27" s="17" t="n"/>
      <c r="I27" s="439" t="n">
        <v>22</v>
      </c>
      <c r="J27" s="475" t="n"/>
      <c r="K27" s="30" t="n"/>
      <c r="L27" s="30" t="n"/>
      <c r="M27" s="30" t="n"/>
      <c r="N27" s="30" t="n"/>
      <c r="O27" s="17" t="n"/>
    </row>
    <row r="28">
      <c r="C28" s="17" t="n"/>
      <c r="D28" s="17" t="n"/>
      <c r="E28" s="17" t="n"/>
      <c r="F28" s="17" t="n"/>
      <c r="G28" s="17" t="n"/>
      <c r="H28" s="17" t="n"/>
      <c r="I28" s="439" t="n">
        <v>23</v>
      </c>
      <c r="J28" s="475" t="n"/>
      <c r="K28" s="30" t="n"/>
      <c r="L28" s="30" t="n"/>
      <c r="M28" s="30" t="n"/>
      <c r="N28" s="30" t="n"/>
      <c r="O28" s="17" t="n"/>
    </row>
    <row r="29">
      <c r="C29" s="17" t="n"/>
      <c r="D29" s="17" t="n"/>
      <c r="E29" s="17" t="n"/>
      <c r="F29" s="17" t="n"/>
      <c r="G29" s="17" t="n"/>
      <c r="H29" s="17" t="n"/>
      <c r="I29" s="439" t="n">
        <v>24</v>
      </c>
      <c r="J29" s="475" t="n"/>
      <c r="K29" s="30" t="n"/>
      <c r="L29" s="30" t="n"/>
      <c r="M29" s="30" t="n"/>
      <c r="N29" s="30" t="n"/>
      <c r="O29" s="17" t="n"/>
    </row>
    <row r="30">
      <c r="C30" s="17" t="n"/>
      <c r="D30" s="17" t="n"/>
      <c r="E30" s="17" t="n"/>
      <c r="F30" s="17" t="n"/>
      <c r="G30" s="17" t="n"/>
      <c r="H30" s="17" t="n"/>
      <c r="I30" s="439" t="n">
        <v>25</v>
      </c>
      <c r="J30" s="475" t="n"/>
      <c r="K30" s="30" t="n"/>
      <c r="L30" s="30" t="n"/>
      <c r="M30" s="30" t="n"/>
      <c r="N30" s="30" t="n"/>
      <c r="O30" s="17" t="n"/>
    </row>
    <row r="31">
      <c r="C31" s="17" t="n"/>
      <c r="D31" s="17" t="n"/>
      <c r="E31" s="17" t="n"/>
      <c r="F31" s="17" t="n"/>
      <c r="G31" s="17" t="n"/>
      <c r="H31" s="17" t="n"/>
      <c r="I31" s="439" t="n">
        <v>26</v>
      </c>
      <c r="J31" s="475" t="n"/>
      <c r="K31" s="30" t="n"/>
      <c r="L31" s="30" t="n"/>
      <c r="M31" s="30" t="n"/>
      <c r="N31" s="30" t="n"/>
      <c r="O31" s="17" t="n"/>
    </row>
    <row r="32">
      <c r="C32" s="17" t="n"/>
      <c r="D32" s="17" t="n"/>
      <c r="E32" s="17" t="n"/>
      <c r="F32" s="17" t="n"/>
      <c r="G32" s="17" t="n"/>
      <c r="H32" s="17" t="n"/>
      <c r="I32" s="439" t="n">
        <v>27</v>
      </c>
      <c r="J32" s="475" t="n"/>
      <c r="K32" s="30" t="n"/>
      <c r="L32" s="30" t="n"/>
      <c r="M32" s="30" t="n"/>
      <c r="N32" s="30" t="n"/>
      <c r="O32" s="17" t="n"/>
    </row>
    <row r="33">
      <c r="C33" s="17" t="n"/>
      <c r="D33" s="17" t="n"/>
      <c r="E33" s="17" t="n"/>
      <c r="F33" s="17" t="n"/>
      <c r="G33" s="17" t="n"/>
      <c r="H33" s="17" t="n"/>
      <c r="I33" s="439" t="n">
        <v>28</v>
      </c>
      <c r="J33" s="475" t="n"/>
      <c r="K33" s="30" t="n"/>
      <c r="L33" s="30" t="n"/>
      <c r="M33" s="30" t="n"/>
      <c r="N33" s="30" t="n"/>
      <c r="O33" s="17" t="n"/>
    </row>
    <row r="34">
      <c r="C34" s="17" t="n"/>
      <c r="D34" s="17" t="n"/>
      <c r="E34" s="17" t="n"/>
      <c r="F34" s="17" t="n"/>
      <c r="G34" s="17" t="n"/>
      <c r="H34" s="17" t="n"/>
      <c r="I34" s="439" t="n">
        <v>29</v>
      </c>
      <c r="J34" s="475" t="n"/>
      <c r="K34" s="30" t="n"/>
      <c r="L34" s="30" t="n"/>
      <c r="M34" s="30" t="n"/>
      <c r="N34" s="30" t="n"/>
      <c r="O34" s="17" t="n"/>
    </row>
    <row r="35">
      <c r="C35" s="17" t="n"/>
      <c r="D35" s="17" t="n"/>
      <c r="E35" s="17" t="n"/>
      <c r="F35" s="17" t="n"/>
      <c r="G35" s="17" t="n"/>
      <c r="H35" s="17" t="n"/>
      <c r="I35" s="439" t="n">
        <v>30</v>
      </c>
      <c r="J35" s="475" t="n"/>
      <c r="K35" s="30" t="n"/>
      <c r="L35" s="30" t="n"/>
      <c r="M35" s="30" t="n"/>
      <c r="N35" s="30" t="n"/>
      <c r="O35" s="17" t="n"/>
    </row>
    <row r="36">
      <c r="C36" s="17" t="n"/>
      <c r="D36" s="17" t="n"/>
      <c r="E36" s="17" t="n"/>
      <c r="F36" s="17" t="n"/>
      <c r="G36" s="17" t="n"/>
      <c r="H36" s="17" t="n"/>
      <c r="I36" s="439" t="n"/>
      <c r="J36" s="475" t="n"/>
      <c r="K36" s="30" t="n"/>
      <c r="L36" s="30" t="n"/>
      <c r="M36" s="30" t="n"/>
      <c r="N36" s="30" t="n"/>
      <c r="O36" s="17" t="n"/>
    </row>
    <row r="37">
      <c r="C37" s="17" t="n"/>
      <c r="D37" s="17" t="n"/>
      <c r="E37" s="17" t="n"/>
      <c r="F37" s="17" t="n"/>
      <c r="G37" s="17" t="n"/>
      <c r="H37" s="17" t="n"/>
      <c r="I37" s="439" t="n"/>
      <c r="J37" s="475" t="n"/>
      <c r="K37" s="30" t="n"/>
      <c r="L37" s="30" t="n"/>
      <c r="M37" s="30" t="n"/>
      <c r="N37" s="30" t="n"/>
      <c r="O37" s="17" t="n"/>
    </row>
    <row r="38">
      <c r="J38" s="480" t="n"/>
      <c r="K38" s="28" t="n"/>
      <c r="L38" s="28" t="n"/>
      <c r="M38" s="28" t="n"/>
      <c r="N38" s="28" t="n"/>
    </row>
    <row r="39">
      <c r="J39" s="480" t="n"/>
      <c r="K39" s="28" t="n"/>
      <c r="L39" s="28" t="n"/>
      <c r="M39" s="28" t="n"/>
      <c r="N39" s="28" t="n"/>
    </row>
    <row r="40">
      <c r="J40" s="480" t="n"/>
      <c r="K40" s="28" t="n"/>
      <c r="L40" s="28" t="n"/>
      <c r="M40" s="28" t="n"/>
      <c r="N40" s="28" t="n"/>
    </row>
    <row r="41">
      <c r="J41" s="480" t="n"/>
      <c r="K41" s="28" t="n"/>
      <c r="L41" s="28" t="n"/>
      <c r="M41" s="28" t="n"/>
      <c r="N41" s="28" t="n"/>
    </row>
    <row r="42">
      <c r="J42" s="480" t="n"/>
      <c r="K42" s="28" t="n"/>
      <c r="L42" s="28" t="n"/>
      <c r="M42" s="28" t="n"/>
      <c r="N42" s="28" t="n"/>
    </row>
    <row r="43">
      <c r="J43" s="480" t="n"/>
      <c r="K43" s="28" t="n"/>
      <c r="L43" s="28" t="n"/>
      <c r="M43" s="28" t="n"/>
      <c r="N43" s="28" t="n"/>
    </row>
    <row r="44">
      <c r="J44" s="480" t="n"/>
      <c r="K44" s="28" t="n"/>
      <c r="L44" s="28" t="n"/>
      <c r="M44" s="28" t="n"/>
      <c r="N44" s="28" t="n"/>
    </row>
    <row r="45">
      <c r="J45" s="480" t="n"/>
      <c r="K45" s="28" t="n"/>
      <c r="L45" s="28" t="n"/>
      <c r="M45" s="28" t="n"/>
      <c r="N45" s="28" t="n"/>
    </row>
    <row r="46">
      <c r="J46" s="480" t="n"/>
      <c r="K46" s="28" t="n"/>
      <c r="L46" s="28" t="n"/>
      <c r="M46" s="28" t="n"/>
      <c r="N46" s="28" t="n"/>
    </row>
    <row r="47">
      <c r="J47" s="480" t="n"/>
      <c r="K47" s="28" t="n"/>
      <c r="L47" s="28" t="n"/>
      <c r="M47" s="28" t="n"/>
      <c r="N47" s="28" t="n"/>
    </row>
    <row r="48">
      <c r="J48" s="480" t="n"/>
      <c r="K48" s="28" t="n"/>
      <c r="L48" s="28" t="n"/>
      <c r="M48" s="28" t="n"/>
      <c r="N48" s="28" t="n"/>
    </row>
    <row r="49">
      <c r="J49" s="480" t="n"/>
      <c r="K49" s="28" t="n"/>
      <c r="L49" s="28" t="n"/>
      <c r="M49" s="28" t="n"/>
      <c r="N49" s="28" t="n"/>
    </row>
    <row r="50">
      <c r="J50" s="480" t="n"/>
      <c r="K50" s="28" t="n"/>
      <c r="L50" s="28" t="n"/>
      <c r="M50" s="28" t="n"/>
      <c r="N50" s="28" t="n"/>
    </row>
    <row r="51">
      <c r="J51" s="480" t="n"/>
      <c r="K51" s="28" t="n"/>
      <c r="L51" s="28" t="n"/>
      <c r="M51" s="28" t="n"/>
      <c r="N51" s="28" t="n"/>
    </row>
    <row r="52">
      <c r="J52" s="480" t="n"/>
      <c r="K52" s="28" t="n"/>
      <c r="L52" s="28" t="n"/>
      <c r="M52" s="28" t="n"/>
      <c r="N52" s="28" t="n"/>
    </row>
    <row r="53">
      <c r="J53" s="480" t="n"/>
      <c r="K53" s="28" t="n"/>
      <c r="L53" s="28" t="n"/>
      <c r="M53" s="28" t="n"/>
      <c r="N53" s="28" t="n"/>
    </row>
    <row r="54">
      <c r="J54" s="480" t="n"/>
      <c r="K54" s="28" t="n"/>
      <c r="L54" s="28" t="n"/>
      <c r="M54" s="28" t="n"/>
      <c r="N54" s="28" t="n"/>
    </row>
    <row r="55">
      <c r="J55" s="480" t="n"/>
      <c r="K55" s="28" t="n"/>
      <c r="M55" s="28" t="n"/>
      <c r="N55" s="28" t="n"/>
    </row>
    <row r="56">
      <c r="J56" s="480" t="n"/>
      <c r="K56" s="28" t="n"/>
      <c r="L56" s="28" t="n"/>
      <c r="M56" s="28" t="n"/>
      <c r="N56" s="28" t="n"/>
    </row>
    <row r="57">
      <c r="J57" s="480" t="n"/>
      <c r="K57" s="28" t="n"/>
      <c r="L57" s="28" t="n"/>
      <c r="M57" s="28" t="n"/>
      <c r="N57" s="28" t="n"/>
    </row>
    <row r="58">
      <c r="J58" s="480" t="n"/>
      <c r="K58" s="28" t="n"/>
      <c r="L58" s="28" t="n"/>
      <c r="M58" s="28" t="n"/>
      <c r="N58" s="28" t="n"/>
    </row>
    <row r="59" ht="16" customHeight="1">
      <c r="I59" s="178" t="n"/>
      <c r="J59" s="481" t="n"/>
      <c r="K59" s="207" t="n"/>
      <c r="L59" s="207" t="n"/>
      <c r="M59" s="207" t="n"/>
      <c r="N59" s="207" t="n"/>
    </row>
    <row r="60">
      <c r="J60" s="480" t="n"/>
      <c r="K60" s="28" t="n"/>
      <c r="L60" s="28" t="n"/>
      <c r="M60" s="28" t="n"/>
      <c r="N60" s="28" t="n"/>
    </row>
    <row r="61">
      <c r="J61" s="480" t="n"/>
      <c r="K61" s="28" t="n"/>
      <c r="L61" s="28" t="n"/>
      <c r="M61" s="28" t="n"/>
      <c r="N61" s="28" t="n"/>
    </row>
    <row r="62">
      <c r="J62" s="480" t="n"/>
      <c r="K62" s="28" t="n"/>
      <c r="L62" s="28" t="n"/>
      <c r="M62" s="28" t="n"/>
      <c r="N62" s="28" t="n"/>
    </row>
    <row r="63">
      <c r="J63" s="480" t="n"/>
      <c r="K63" s="28" t="n"/>
      <c r="L63" s="28" t="n"/>
      <c r="M63" s="28" t="n"/>
      <c r="N63" s="28" t="n"/>
    </row>
    <row r="64">
      <c r="I64" s="6" t="n"/>
      <c r="J64" s="473" t="n"/>
      <c r="K64" s="208" t="n"/>
      <c r="L64" s="208" t="n"/>
      <c r="M64" s="208" t="n"/>
      <c r="N64" s="208" t="n"/>
    </row>
    <row r="65">
      <c r="J65" s="480" t="n"/>
      <c r="K65" s="28" t="n"/>
      <c r="L65" s="28" t="n"/>
      <c r="M65" s="28" t="n"/>
      <c r="N65" s="28" t="n"/>
    </row>
    <row r="66">
      <c r="J66" s="480" t="n"/>
      <c r="K66" s="28" t="n"/>
      <c r="L66" s="28" t="n"/>
      <c r="M66" s="28" t="n"/>
      <c r="N66" s="28" t="n"/>
    </row>
    <row r="67">
      <c r="J67" s="480" t="n"/>
      <c r="K67" s="28" t="n"/>
      <c r="L67" s="28" t="n"/>
      <c r="M67" s="28" t="n"/>
      <c r="N67" s="28" t="n"/>
    </row>
    <row r="68">
      <c r="J68" s="480" t="n"/>
      <c r="K68" s="28" t="n"/>
      <c r="L68" s="28" t="n"/>
      <c r="M68" s="28" t="n"/>
      <c r="N68" s="28" t="n"/>
    </row>
    <row r="69">
      <c r="J69" s="480" t="n"/>
      <c r="K69" s="28" t="n"/>
      <c r="L69" s="28" t="n"/>
      <c r="M69" s="28" t="n"/>
      <c r="N69" s="28" t="n"/>
    </row>
    <row r="70">
      <c r="J70" s="480" t="n"/>
      <c r="K70" s="28" t="n"/>
      <c r="L70" s="28" t="n"/>
      <c r="M70" s="28" t="n"/>
      <c r="N70" s="28" t="n"/>
    </row>
    <row r="71">
      <c r="J71" s="480" t="n"/>
      <c r="K71" s="28" t="n"/>
      <c r="L71" s="28" t="n"/>
      <c r="M71" s="28" t="n"/>
      <c r="N71" s="28" t="n"/>
    </row>
    <row r="72">
      <c r="J72" s="480" t="n"/>
      <c r="K72" s="28" t="n"/>
      <c r="L72" s="28" t="n"/>
      <c r="M72" s="28" t="n"/>
      <c r="N72" s="28" t="n"/>
    </row>
    <row r="73">
      <c r="J73" s="480" t="n"/>
      <c r="K73" s="28" t="n"/>
      <c r="L73" s="28" t="n"/>
      <c r="M73" s="28" t="n"/>
      <c r="N73" s="28" t="n"/>
    </row>
    <row r="74">
      <c r="J74" s="480" t="n"/>
      <c r="K74" s="28" t="n"/>
      <c r="L74" s="28" t="n"/>
      <c r="M74" s="28" t="n"/>
      <c r="N74" s="28" t="n"/>
    </row>
    <row r="75" ht="16" customHeight="1">
      <c r="I75" s="209" t="n"/>
      <c r="J75" s="482" t="n"/>
      <c r="K75" s="211" t="n"/>
      <c r="L75" s="211" t="n"/>
      <c r="M75" s="212" t="n"/>
      <c r="N75" s="212" t="n"/>
    </row>
    <row r="76">
      <c r="I76" s="6" t="n"/>
      <c r="J76" s="473" t="n"/>
      <c r="K76" s="208" t="n"/>
      <c r="L76" s="208" t="n"/>
      <c r="M76" s="208" t="n"/>
      <c r="N76" s="208" t="n"/>
    </row>
    <row r="77">
      <c r="J77" s="480" t="n"/>
      <c r="K77" s="28" t="n"/>
      <c r="L77" s="28" t="n"/>
      <c r="M77" s="28" t="n"/>
      <c r="N77" s="28" t="n"/>
    </row>
    <row r="78">
      <c r="J78" s="480" t="n"/>
      <c r="K78" s="28" t="n"/>
      <c r="L78" s="28" t="n"/>
      <c r="M78" s="28" t="n"/>
      <c r="N78" s="28" t="n"/>
    </row>
    <row r="79">
      <c r="J79" s="480" t="n"/>
      <c r="K79" s="28" t="n"/>
      <c r="L79" s="28" t="n"/>
      <c r="M79" s="28" t="n"/>
      <c r="N79" s="28" t="n"/>
    </row>
    <row r="80">
      <c r="J80" s="480" t="n"/>
      <c r="K80" s="28" t="n"/>
      <c r="L80" s="28" t="n"/>
      <c r="M80" s="28" t="n"/>
      <c r="N80" s="28" t="n"/>
    </row>
    <row r="81">
      <c r="J81" s="480" t="n"/>
      <c r="K81" s="28" t="n"/>
      <c r="L81" s="28" t="n"/>
      <c r="M81" s="28" t="n"/>
      <c r="N81" s="28" t="n"/>
    </row>
    <row r="82">
      <c r="J82" s="480" t="n"/>
      <c r="K82" s="28" t="n"/>
      <c r="L82" s="28" t="n"/>
      <c r="M82" s="28" t="n"/>
      <c r="N82" s="28" t="n"/>
    </row>
    <row r="83">
      <c r="J83" s="480" t="n"/>
      <c r="K83" s="28" t="n"/>
      <c r="L83" s="28" t="n"/>
      <c r="M83" s="28" t="n"/>
      <c r="N83" s="28" t="n"/>
    </row>
    <row r="84">
      <c r="J84" s="480" t="n"/>
      <c r="K84" s="28" t="n"/>
      <c r="L84" s="28" t="n"/>
      <c r="M84" s="28" t="n"/>
      <c r="N84" s="28" t="n"/>
    </row>
    <row r="85">
      <c r="J85" s="480" t="n"/>
      <c r="K85" s="28" t="n"/>
      <c r="L85" s="28" t="n"/>
      <c r="M85" s="28" t="n"/>
      <c r="N85" s="28" t="n"/>
    </row>
    <row r="86">
      <c r="J86" s="480" t="n"/>
      <c r="K86" s="28" t="n"/>
      <c r="L86" s="28" t="n"/>
      <c r="M86" s="28" t="n"/>
      <c r="N86" s="28" t="n"/>
    </row>
    <row r="87">
      <c r="J87" s="480" t="n"/>
      <c r="K87" s="28" t="n"/>
      <c r="L87" s="28" t="n"/>
      <c r="M87" s="28" t="n"/>
      <c r="N87" s="28" t="n"/>
    </row>
    <row r="88">
      <c r="J88" s="480" t="n"/>
      <c r="K88" s="28" t="n"/>
      <c r="L88" s="28" t="n"/>
      <c r="M88" s="28" t="n"/>
      <c r="N88" s="28" t="n"/>
    </row>
    <row r="89">
      <c r="I89" s="213" t="n"/>
      <c r="J89" s="483" t="n"/>
      <c r="K89" s="215" t="n"/>
      <c r="L89" s="215" t="n"/>
      <c r="M89" s="215" t="n"/>
      <c r="N89" s="28" t="n"/>
    </row>
    <row r="90">
      <c r="J90" s="480" t="n"/>
      <c r="K90" s="28" t="n"/>
      <c r="L90" s="28" t="n"/>
      <c r="M90" s="28" t="n"/>
      <c r="N90" s="28" t="n"/>
    </row>
    <row r="91">
      <c r="J91" s="480" t="n"/>
      <c r="K91" s="28" t="n"/>
      <c r="L91" s="28" t="n"/>
      <c r="M91" s="28" t="n"/>
      <c r="N91" s="28" t="n"/>
    </row>
    <row r="92">
      <c r="J92" s="480" t="n"/>
      <c r="K92" s="28" t="n"/>
      <c r="L92" s="28" t="n"/>
      <c r="M92" s="28" t="n"/>
      <c r="N92" s="28" t="n"/>
    </row>
    <row r="93">
      <c r="J93" s="480" t="n"/>
      <c r="K93" s="28" t="n"/>
      <c r="L93" s="28" t="n"/>
      <c r="M93" s="28" t="n"/>
      <c r="N93" s="28" t="n"/>
    </row>
    <row r="94">
      <c r="J94" s="480" t="n"/>
      <c r="K94" s="28" t="n"/>
      <c r="L94" s="28" t="n"/>
      <c r="M94" s="28" t="n"/>
      <c r="N94" s="28" t="n"/>
    </row>
    <row r="95">
      <c r="J95" s="480" t="n"/>
      <c r="K95" s="28" t="n"/>
      <c r="L95" s="28" t="n"/>
      <c r="M95" s="28" t="n"/>
      <c r="N95" s="28" t="n"/>
    </row>
    <row r="96">
      <c r="J96" s="480" t="n"/>
      <c r="K96" s="28" t="n"/>
      <c r="L96" s="28" t="n"/>
      <c r="M96" s="28" t="n"/>
      <c r="N96" s="28" t="n"/>
    </row>
    <row r="97">
      <c r="J97" s="480" t="n"/>
      <c r="K97" s="28" t="n"/>
      <c r="L97" s="28" t="n"/>
      <c r="M97" s="28" t="n"/>
      <c r="N97" s="28" t="n"/>
    </row>
    <row r="98">
      <c r="J98" s="480" t="n"/>
      <c r="K98" s="28" t="n"/>
      <c r="L98" s="28" t="n"/>
      <c r="M98" s="28" t="n"/>
      <c r="N98" s="28" t="n"/>
    </row>
    <row r="99">
      <c r="J99" s="480" t="n"/>
      <c r="K99" s="28" t="n"/>
      <c r="L99" s="28" t="n"/>
      <c r="M99" s="28" t="n"/>
      <c r="N99" s="28" t="n"/>
    </row>
    <row r="100">
      <c r="J100" s="480" t="n"/>
      <c r="K100" s="28" t="n"/>
      <c r="L100" s="28" t="n"/>
      <c r="M100" s="28" t="n"/>
      <c r="N100" s="28" t="n"/>
    </row>
    <row r="101">
      <c r="J101" s="480" t="n"/>
      <c r="K101" s="28" t="n"/>
      <c r="L101" s="28" t="n"/>
      <c r="M101" s="28" t="n"/>
      <c r="N101" s="28" t="n"/>
    </row>
    <row r="102">
      <c r="J102" s="480" t="n"/>
      <c r="K102" s="28" t="n"/>
      <c r="L102" s="28" t="n"/>
      <c r="M102" s="28" t="n"/>
      <c r="N102" s="28" t="n"/>
    </row>
    <row r="103">
      <c r="J103" s="480" t="n"/>
      <c r="K103" s="28" t="n"/>
      <c r="L103" s="28" t="n"/>
      <c r="M103" s="28" t="n"/>
      <c r="N103" s="28" t="n"/>
    </row>
    <row r="104">
      <c r="J104" s="480" t="n"/>
      <c r="K104" s="28" t="n"/>
      <c r="L104" s="28" t="n"/>
      <c r="M104" s="28" t="n"/>
      <c r="N104" s="28" t="n"/>
    </row>
    <row r="105" ht="16" customHeight="1">
      <c r="I105" s="216" t="n"/>
      <c r="J105" s="484" t="n"/>
      <c r="K105" s="218" t="n"/>
      <c r="L105" s="218" t="n"/>
      <c r="M105" s="218" t="n"/>
      <c r="N105" s="218" t="n"/>
    </row>
    <row r="106">
      <c r="J106" s="480" t="n"/>
      <c r="K106" s="28" t="n"/>
      <c r="L106" s="28" t="n"/>
      <c r="M106" s="28" t="n"/>
      <c r="N106" s="28" t="n"/>
    </row>
    <row r="107">
      <c r="J107" s="480" t="n"/>
      <c r="K107" s="28" t="n"/>
      <c r="L107" s="28" t="n"/>
      <c r="M107" s="28" t="n"/>
      <c r="N107" s="28" t="n"/>
    </row>
    <row r="108">
      <c r="J108" s="480" t="n"/>
      <c r="K108" s="28" t="n"/>
      <c r="L108" s="28" t="n"/>
      <c r="M108" s="28" t="n"/>
      <c r="N108" s="28" t="n"/>
    </row>
    <row r="109">
      <c r="J109" s="480" t="n"/>
      <c r="K109" s="28" t="n"/>
      <c r="L109" s="28" t="n"/>
      <c r="M109" s="28" t="n"/>
      <c r="N109" s="28" t="n"/>
    </row>
    <row r="110">
      <c r="J110" s="480" t="n"/>
      <c r="K110" s="28" t="n"/>
      <c r="L110" s="28" t="n"/>
      <c r="M110" s="28" t="n"/>
      <c r="N110" s="28" t="n"/>
    </row>
    <row r="111">
      <c r="J111" s="480" t="n"/>
      <c r="K111" s="28" t="n"/>
      <c r="L111" s="28" t="n"/>
      <c r="M111" s="28" t="n"/>
      <c r="N111" s="28" t="n"/>
    </row>
    <row r="112">
      <c r="J112" s="480" t="n"/>
      <c r="K112" s="28" t="n"/>
      <c r="L112" s="28" t="n"/>
      <c r="M112" s="28" t="n"/>
      <c r="N112" s="28" t="n"/>
    </row>
    <row r="113">
      <c r="J113" s="480" t="n"/>
      <c r="K113" s="28" t="n"/>
      <c r="L113" s="28" t="n"/>
      <c r="M113" s="28" t="n"/>
      <c r="N113" s="28" t="n"/>
    </row>
    <row r="114">
      <c r="J114" s="480" t="n"/>
      <c r="K114" s="28" t="n"/>
      <c r="L114" s="28" t="n"/>
      <c r="M114" s="28" t="n"/>
      <c r="N114" s="28" t="n"/>
    </row>
    <row r="115">
      <c r="J115" s="480" t="n"/>
      <c r="K115" s="28" t="n"/>
      <c r="L115" s="28" t="n"/>
      <c r="M115" s="28" t="n"/>
      <c r="N115" s="28" t="n"/>
    </row>
    <row r="116">
      <c r="J116" s="480" t="n"/>
      <c r="K116" s="28" t="n"/>
      <c r="L116" s="28" t="n"/>
      <c r="M116" s="28" t="n"/>
      <c r="N116" s="28" t="n"/>
    </row>
    <row r="117">
      <c r="J117" s="480" t="n"/>
      <c r="K117" s="28" t="n"/>
      <c r="L117" s="28" t="n"/>
      <c r="M117" s="28" t="n"/>
      <c r="N117" s="28" t="n"/>
    </row>
    <row r="118">
      <c r="J118" s="480" t="n"/>
      <c r="K118" s="28" t="n"/>
      <c r="L118" s="28" t="n"/>
      <c r="M118" s="28" t="n"/>
      <c r="N118" s="28" t="n"/>
    </row>
    <row r="119">
      <c r="J119" s="480" t="n"/>
      <c r="K119" s="28" t="n"/>
      <c r="L119" s="28" t="n"/>
      <c r="M119" s="28" t="n"/>
      <c r="N119" s="28" t="n"/>
    </row>
    <row r="120">
      <c r="J120" s="480" t="n"/>
      <c r="K120" s="28" t="n"/>
      <c r="L120" s="28" t="n"/>
      <c r="M120" s="28" t="n"/>
      <c r="N120" s="28" t="n"/>
    </row>
    <row r="121">
      <c r="J121" s="480" t="n"/>
      <c r="K121" s="28" t="n"/>
      <c r="L121" s="28" t="n"/>
      <c r="M121" s="28" t="n"/>
      <c r="N121" s="28" t="n"/>
    </row>
    <row r="122">
      <c r="J122" s="480" t="n"/>
      <c r="K122" s="28" t="n"/>
      <c r="L122" s="28" t="n"/>
      <c r="M122" s="28" t="n"/>
      <c r="N122" s="28" t="n"/>
    </row>
    <row r="123">
      <c r="J123" s="480" t="n"/>
      <c r="K123" s="28" t="n"/>
      <c r="L123" s="28" t="n"/>
      <c r="M123" s="28" t="n"/>
      <c r="N123" s="28" t="n"/>
    </row>
    <row r="124">
      <c r="J124" s="480" t="n"/>
      <c r="K124" s="28" t="n"/>
      <c r="L124" s="28" t="n"/>
      <c r="M124" s="28" t="n"/>
      <c r="N124" s="28" t="n"/>
    </row>
    <row r="125">
      <c r="J125" s="480" t="n"/>
      <c r="K125" s="28" t="n"/>
      <c r="L125" s="28" t="n"/>
      <c r="M125" s="28" t="n"/>
      <c r="N125" s="28" t="n"/>
    </row>
    <row r="126">
      <c r="J126" s="480" t="n"/>
      <c r="K126" s="28" t="n"/>
      <c r="L126" s="28" t="n"/>
      <c r="M126" s="28" t="n"/>
      <c r="N126" s="28" t="n"/>
    </row>
    <row r="127">
      <c r="J127" s="480" t="n"/>
      <c r="K127" s="28" t="n"/>
      <c r="L127" s="28" t="n"/>
      <c r="M127" s="28" t="n"/>
      <c r="N127" s="28" t="n"/>
    </row>
    <row r="128">
      <c r="J128" s="480" t="n"/>
      <c r="K128" s="28" t="n"/>
      <c r="L128" s="28" t="n"/>
      <c r="M128" s="28" t="n"/>
      <c r="N128" s="28" t="n"/>
    </row>
    <row r="129">
      <c r="J129" s="480" t="n"/>
      <c r="K129" s="28" t="n"/>
      <c r="L129" s="28" t="n"/>
      <c r="M129" s="28" t="n"/>
      <c r="N129" s="28" t="n"/>
    </row>
    <row r="130">
      <c r="J130" s="480" t="n"/>
      <c r="K130" s="28" t="n"/>
      <c r="L130" s="28" t="n"/>
      <c r="M130" s="28" t="n"/>
      <c r="N130" s="28" t="n"/>
    </row>
    <row r="131">
      <c r="J131" s="480" t="n"/>
      <c r="K131" s="28" t="n"/>
      <c r="L131" s="28" t="n"/>
      <c r="M131" s="28" t="n"/>
      <c r="N131" s="28" t="n"/>
    </row>
    <row r="132">
      <c r="J132" s="480" t="n"/>
      <c r="K132" s="28" t="n"/>
      <c r="L132" s="28" t="n"/>
      <c r="M132" s="28" t="n"/>
      <c r="N132" s="28" t="n"/>
    </row>
    <row r="133">
      <c r="J133" s="480" t="n"/>
      <c r="K133" s="28" t="n"/>
      <c r="L133" s="28" t="n"/>
      <c r="M133" s="28" t="n"/>
      <c r="N133" s="28" t="n"/>
    </row>
    <row r="134">
      <c r="J134" s="480" t="n"/>
      <c r="K134" s="28" t="n"/>
      <c r="L134" s="28" t="n"/>
      <c r="M134" s="28" t="n"/>
      <c r="N134" s="28" t="n"/>
    </row>
    <row r="135">
      <c r="J135" s="480" t="n"/>
      <c r="K135" s="28" t="n"/>
      <c r="L135" s="28" t="n"/>
      <c r="M135" s="28" t="n"/>
      <c r="N135" s="28" t="n"/>
    </row>
    <row r="136">
      <c r="J136" s="480" t="n"/>
      <c r="K136" s="28" t="n"/>
      <c r="L136" s="28" t="n"/>
      <c r="M136" s="28" t="n"/>
      <c r="N136" s="28" t="n"/>
    </row>
    <row r="137">
      <c r="J137" s="480" t="n"/>
      <c r="K137" s="28" t="n"/>
      <c r="L137" s="28" t="n"/>
      <c r="M137" s="28" t="n"/>
      <c r="N137" s="28" t="n"/>
    </row>
    <row r="138">
      <c r="J138" s="480" t="n"/>
      <c r="K138" s="28" t="n"/>
      <c r="L138" s="28" t="n"/>
      <c r="M138" s="28" t="n"/>
      <c r="N138" s="28" t="n"/>
    </row>
    <row r="139">
      <c r="J139" s="480" t="n"/>
      <c r="K139" s="28" t="n"/>
      <c r="L139" s="28" t="n"/>
      <c r="M139" s="28" t="n"/>
      <c r="N139" s="28" t="n"/>
    </row>
    <row r="140">
      <c r="J140" s="480" t="n"/>
      <c r="K140" s="28" t="n"/>
      <c r="L140" s="28" t="n"/>
      <c r="M140" s="28" t="n"/>
      <c r="N140" s="28" t="n"/>
    </row>
    <row r="141">
      <c r="J141" s="480" t="n"/>
      <c r="K141" s="28" t="n"/>
      <c r="L141" s="28" t="n"/>
      <c r="M141" s="28" t="n"/>
      <c r="N141" s="28" t="n"/>
    </row>
    <row r="142">
      <c r="J142" s="480" t="n"/>
      <c r="K142" s="28" t="n"/>
      <c r="L142" s="28" t="n"/>
      <c r="M142" s="28" t="n"/>
      <c r="N142" s="28" t="n"/>
    </row>
    <row r="143">
      <c r="J143" s="480" t="n"/>
      <c r="K143" s="28" t="n"/>
      <c r="L143" s="28" t="n"/>
      <c r="M143" s="28" t="n"/>
      <c r="N143" s="28" t="n"/>
    </row>
    <row r="144">
      <c r="J144" s="480" t="n"/>
      <c r="K144" s="28" t="n"/>
      <c r="L144" s="28" t="n"/>
      <c r="M144" s="28" t="n"/>
      <c r="N144" s="28" t="n"/>
    </row>
    <row r="145">
      <c r="J145" s="480" t="n"/>
      <c r="K145" s="28" t="n"/>
      <c r="L145" s="28" t="n"/>
      <c r="M145" s="28" t="n"/>
      <c r="N145" s="28" t="n"/>
    </row>
    <row r="146">
      <c r="J146" s="480" t="n"/>
      <c r="K146" s="28" t="n"/>
      <c r="L146" s="28" t="n"/>
      <c r="M146" s="28" t="n"/>
      <c r="N146" s="28" t="n"/>
    </row>
    <row r="147">
      <c r="J147" s="480" t="n"/>
      <c r="K147" s="28" t="n"/>
      <c r="L147" s="28" t="n"/>
      <c r="M147" s="28" t="n"/>
      <c r="N147" s="28" t="n"/>
    </row>
    <row r="148">
      <c r="J148" s="480" t="n"/>
      <c r="K148" s="28" t="n"/>
      <c r="L148" s="28" t="n"/>
      <c r="M148" s="28" t="n"/>
      <c r="N148" s="28" t="n"/>
    </row>
    <row r="149">
      <c r="J149" s="480" t="n"/>
      <c r="K149" s="28" t="n"/>
      <c r="L149" s="28" t="n"/>
      <c r="M149" s="28" t="n"/>
      <c r="N149" s="28" t="n"/>
    </row>
    <row r="150">
      <c r="J150" s="480" t="n"/>
      <c r="K150" s="28" t="n"/>
      <c r="L150" s="28" t="n"/>
      <c r="M150" s="28" t="n"/>
      <c r="N150" s="28" t="n"/>
    </row>
    <row r="151">
      <c r="J151" s="480" t="n"/>
      <c r="K151" s="28" t="n"/>
      <c r="L151" s="28" t="n"/>
      <c r="M151" s="28" t="n"/>
      <c r="N151" s="28" t="n"/>
    </row>
    <row r="152">
      <c r="J152" s="480" t="n"/>
      <c r="K152" s="28" t="n"/>
      <c r="L152" s="28" t="n"/>
      <c r="M152" s="28" t="n"/>
      <c r="N152" s="28" t="n"/>
    </row>
    <row r="153">
      <c r="J153" s="480" t="n"/>
      <c r="K153" s="28" t="n"/>
      <c r="L153" s="28" t="n"/>
      <c r="M153" s="28" t="n"/>
      <c r="N153" s="28" t="n"/>
    </row>
    <row r="154">
      <c r="J154" s="480" t="n"/>
      <c r="K154" s="28" t="n"/>
      <c r="L154" s="28" t="n"/>
      <c r="M154" s="28" t="n"/>
      <c r="N154" s="28" t="n"/>
    </row>
    <row r="155">
      <c r="J155" s="480" t="n"/>
      <c r="K155" s="28" t="n"/>
      <c r="L155" s="28" t="n"/>
      <c r="M155" s="28" t="n"/>
      <c r="N155" s="28" t="n"/>
    </row>
    <row r="156">
      <c r="J156" s="480" t="n"/>
      <c r="K156" s="28" t="n"/>
      <c r="L156" s="28" t="n"/>
      <c r="M156" s="28" t="n"/>
      <c r="N156" s="28" t="n"/>
    </row>
    <row r="157">
      <c r="J157" s="480" t="n"/>
      <c r="K157" s="28" t="n"/>
      <c r="L157" s="28" t="n"/>
      <c r="M157" s="28" t="n"/>
      <c r="N157" s="28" t="n"/>
    </row>
    <row r="158">
      <c r="J158" s="480" t="n"/>
      <c r="K158" s="28" t="n"/>
      <c r="L158" s="28" t="n"/>
      <c r="M158" s="28" t="n"/>
      <c r="N158" s="28" t="n"/>
    </row>
    <row r="159">
      <c r="J159" s="480" t="n"/>
      <c r="K159" s="28" t="n"/>
      <c r="L159" s="28" t="n"/>
      <c r="M159" s="28" t="n"/>
      <c r="N159" s="28" t="n"/>
    </row>
    <row r="160">
      <c r="J160" s="480" t="n"/>
      <c r="K160" s="28" t="n"/>
      <c r="L160" s="28" t="n"/>
      <c r="M160" s="28" t="n"/>
      <c r="N160" s="28" t="n"/>
    </row>
    <row r="161">
      <c r="J161" s="480" t="n"/>
      <c r="K161" s="28" t="n"/>
      <c r="L161" s="28" t="n"/>
      <c r="M161" s="28" t="n"/>
      <c r="N161" s="28" t="n"/>
    </row>
    <row r="162">
      <c r="J162" s="480" t="n"/>
      <c r="K162" s="28" t="n"/>
      <c r="L162" s="28" t="n"/>
      <c r="M162" s="28" t="n"/>
      <c r="N162" s="28" t="n"/>
    </row>
    <row r="163">
      <c r="J163" s="480" t="n"/>
      <c r="K163" s="28" t="n"/>
      <c r="L163" s="28" t="n"/>
      <c r="M163" s="28" t="n"/>
      <c r="N163" s="28" t="n"/>
    </row>
    <row r="164">
      <c r="J164" s="480" t="n"/>
      <c r="K164" s="28" t="n"/>
      <c r="L164" s="28" t="n"/>
      <c r="M164" s="28" t="n"/>
      <c r="N164" s="28" t="n"/>
    </row>
    <row r="165">
      <c r="J165" s="480" t="n"/>
      <c r="K165" s="28" t="n"/>
      <c r="L165" s="28" t="n"/>
      <c r="M165" s="28" t="n"/>
      <c r="N165" s="28" t="n"/>
    </row>
    <row r="166">
      <c r="J166" s="480" t="n"/>
      <c r="K166" s="28" t="n"/>
      <c r="L166" s="28" t="n"/>
      <c r="M166" s="28" t="n"/>
      <c r="N166" s="28" t="n"/>
    </row>
    <row r="167">
      <c r="J167" s="480" t="n"/>
      <c r="K167" s="28" t="n"/>
      <c r="L167" s="28" t="n"/>
      <c r="M167" s="28" t="n"/>
      <c r="N167" s="28" t="n"/>
    </row>
    <row r="168">
      <c r="J168" s="480" t="n"/>
      <c r="K168" s="28" t="n"/>
      <c r="L168" s="28" t="n"/>
      <c r="M168" s="28" t="n"/>
      <c r="N168" s="28" t="n"/>
    </row>
    <row r="169">
      <c r="J169" s="480" t="n"/>
      <c r="K169" s="28" t="n"/>
      <c r="L169" s="28" t="n"/>
      <c r="M169" s="28" t="n"/>
      <c r="N169" s="28" t="n"/>
    </row>
    <row r="170">
      <c r="J170" s="480" t="n"/>
      <c r="K170" s="28" t="n"/>
      <c r="L170" s="28" t="n"/>
      <c r="M170" s="28" t="n"/>
      <c r="N170" s="28" t="n"/>
    </row>
    <row r="171">
      <c r="J171" s="480" t="n"/>
      <c r="K171" s="28" t="n"/>
      <c r="L171" s="28" t="n"/>
      <c r="M171" s="28" t="n"/>
      <c r="N171" s="28" t="n"/>
    </row>
    <row r="172">
      <c r="J172" s="480" t="n"/>
      <c r="K172" s="28" t="n"/>
      <c r="L172" s="28" t="n"/>
      <c r="M172" s="28" t="n"/>
      <c r="N172" s="28" t="n"/>
    </row>
    <row r="173">
      <c r="J173" s="480" t="n"/>
      <c r="K173" s="28" t="n"/>
      <c r="L173" s="28" t="n"/>
      <c r="M173" s="28" t="n"/>
      <c r="N173" s="28" t="n"/>
    </row>
    <row r="174">
      <c r="J174" s="480" t="n"/>
      <c r="K174" s="28" t="n"/>
      <c r="L174" s="28" t="n"/>
      <c r="M174" s="28" t="n"/>
      <c r="N174" s="28" t="n"/>
    </row>
    <row r="175">
      <c r="J175" s="480" t="n"/>
      <c r="K175" s="28" t="n"/>
      <c r="L175" s="28" t="n"/>
      <c r="M175" s="28" t="n"/>
      <c r="N175" s="28" t="n"/>
    </row>
    <row r="176">
      <c r="J176" s="480" t="n"/>
      <c r="K176" s="28" t="n"/>
      <c r="L176" s="28" t="n"/>
      <c r="M176" s="28" t="n"/>
      <c r="N176" s="28" t="n"/>
    </row>
    <row r="177">
      <c r="J177" s="480" t="n"/>
      <c r="K177" s="28" t="n"/>
      <c r="L177" s="28" t="n"/>
      <c r="M177" s="28" t="n"/>
      <c r="N177" s="28" t="n"/>
    </row>
    <row r="178">
      <c r="J178" s="480" t="n"/>
      <c r="K178" s="28" t="n"/>
      <c r="L178" s="28" t="n"/>
      <c r="M178" s="28" t="n"/>
      <c r="N178" s="28" t="n"/>
    </row>
    <row r="179">
      <c r="J179" s="480" t="n"/>
      <c r="K179" s="28" t="n"/>
      <c r="L179" s="28" t="n"/>
      <c r="M179" s="28" t="n"/>
      <c r="N179" s="28" t="n"/>
    </row>
    <row r="180">
      <c r="J180" s="480" t="n"/>
      <c r="K180" s="28" t="n"/>
      <c r="L180" s="28" t="n"/>
      <c r="M180" s="28" t="n"/>
      <c r="N180" s="28" t="n"/>
    </row>
    <row r="181">
      <c r="J181" s="480" t="n"/>
      <c r="K181" s="28" t="n"/>
      <c r="L181" s="28" t="n"/>
      <c r="M181" s="28" t="n"/>
      <c r="N181" s="28" t="n"/>
    </row>
    <row r="182">
      <c r="J182" s="480" t="n"/>
      <c r="K182" s="28" t="n"/>
      <c r="L182" s="28" t="n"/>
      <c r="M182" s="28" t="n"/>
      <c r="N182" s="28" t="n"/>
    </row>
    <row r="183">
      <c r="J183" s="480" t="n"/>
      <c r="K183" s="28" t="n"/>
      <c r="L183" s="28" t="n"/>
      <c r="M183" s="28" t="n"/>
      <c r="N183" s="28" t="n"/>
    </row>
    <row r="184">
      <c r="J184" s="480" t="n"/>
      <c r="K184" s="28" t="n"/>
      <c r="L184" s="28" t="n"/>
      <c r="M184" s="28" t="n"/>
      <c r="N184" s="28" t="n"/>
    </row>
    <row r="185">
      <c r="J185" s="480" t="n"/>
      <c r="K185" s="28" t="n"/>
      <c r="L185" s="28" t="n"/>
      <c r="M185" s="28" t="n"/>
      <c r="N185" s="28" t="n"/>
    </row>
    <row r="186">
      <c r="J186" s="480" t="n"/>
      <c r="K186" s="28" t="n"/>
      <c r="L186" s="28" t="n"/>
      <c r="M186" s="28" t="n"/>
      <c r="N186" s="28" t="n"/>
    </row>
    <row r="187">
      <c r="J187" s="480" t="n"/>
      <c r="K187" s="28" t="n"/>
      <c r="L187" s="28" t="n"/>
      <c r="M187" s="28" t="n"/>
      <c r="N187" s="28" t="n"/>
    </row>
    <row r="188">
      <c r="J188" s="480" t="n"/>
      <c r="K188" s="28" t="n"/>
      <c r="L188" s="28" t="n"/>
      <c r="M188" s="28" t="n"/>
      <c r="N188" s="28" t="n"/>
    </row>
    <row r="189">
      <c r="J189" s="480" t="n"/>
      <c r="K189" s="28" t="n"/>
      <c r="L189" s="28" t="n"/>
      <c r="M189" s="28" t="n"/>
      <c r="N189" s="28" t="n"/>
    </row>
    <row r="190">
      <c r="J190" s="480" t="n"/>
      <c r="K190" s="28" t="n"/>
      <c r="L190" s="28" t="n"/>
      <c r="M190" s="28" t="n"/>
      <c r="N190" s="28" t="n"/>
    </row>
    <row r="191">
      <c r="J191" s="480" t="n"/>
      <c r="K191" s="28" t="n"/>
      <c r="L191" s="28" t="n"/>
      <c r="M191" s="28" t="n"/>
      <c r="N191" s="28" t="n"/>
    </row>
    <row r="192">
      <c r="J192" s="480" t="n"/>
      <c r="K192" s="28" t="n"/>
      <c r="L192" s="28" t="n"/>
      <c r="M192" s="28" t="n"/>
      <c r="N192" s="28" t="n"/>
    </row>
    <row r="193">
      <c r="J193" s="480" t="n"/>
      <c r="K193" s="28" t="n"/>
      <c r="L193" s="28" t="n"/>
      <c r="M193" s="28" t="n"/>
      <c r="N193" s="28" t="n"/>
    </row>
    <row r="194">
      <c r="J194" s="480" t="n"/>
      <c r="K194" s="28" t="n"/>
      <c r="L194" s="28" t="n"/>
      <c r="M194" s="28" t="n"/>
      <c r="N194" s="28" t="n"/>
    </row>
    <row r="195">
      <c r="J195" s="480" t="n"/>
      <c r="K195" s="28" t="n"/>
      <c r="L195" s="28" t="n"/>
      <c r="M195" s="28" t="n"/>
      <c r="N195" s="28" t="n"/>
    </row>
    <row r="196">
      <c r="J196" s="480" t="n"/>
      <c r="K196" s="28" t="n"/>
      <c r="L196" s="28" t="n"/>
      <c r="M196" s="28" t="n"/>
      <c r="N196" s="28" t="n"/>
    </row>
    <row r="197">
      <c r="J197" s="480" t="n"/>
      <c r="K197" s="28" t="n"/>
      <c r="L197" s="28" t="n"/>
      <c r="M197" s="28" t="n"/>
      <c r="N197" s="28" t="n"/>
    </row>
    <row r="198">
      <c r="J198" s="480" t="n"/>
      <c r="K198" s="28" t="n"/>
      <c r="L198" s="28" t="n"/>
      <c r="M198" s="28" t="n"/>
      <c r="N198" s="28" t="n"/>
    </row>
    <row r="199">
      <c r="J199" s="480" t="n"/>
      <c r="K199" s="28" t="n"/>
      <c r="L199" s="28" t="n"/>
      <c r="M199" s="28" t="n"/>
      <c r="N199" s="28" t="n"/>
    </row>
    <row r="200">
      <c r="J200" s="480" t="n"/>
      <c r="K200" s="28" t="n"/>
      <c r="L200" s="28" t="n"/>
      <c r="M200" s="28" t="n"/>
      <c r="N200" s="28" t="n"/>
    </row>
    <row r="201">
      <c r="J201" s="480" t="n"/>
      <c r="K201" s="28" t="n"/>
      <c r="L201" s="28" t="n"/>
      <c r="M201" s="28" t="n"/>
      <c r="N201" s="28" t="n"/>
    </row>
    <row r="202">
      <c r="J202" s="480" t="n"/>
      <c r="K202" s="28" t="n"/>
      <c r="L202" s="28" t="n"/>
      <c r="M202" s="28" t="n"/>
      <c r="N202" s="28" t="n"/>
    </row>
    <row r="203">
      <c r="J203" s="480" t="n"/>
      <c r="K203" s="28" t="n"/>
      <c r="L203" s="28" t="n"/>
      <c r="M203" s="28" t="n"/>
      <c r="N203" s="28" t="n"/>
    </row>
    <row r="204">
      <c r="J204" s="480" t="n"/>
      <c r="K204" s="28" t="n"/>
      <c r="L204" s="28" t="n"/>
      <c r="M204" s="28" t="n"/>
      <c r="N204" s="28" t="n"/>
    </row>
    <row r="205">
      <c r="J205" s="480" t="n"/>
      <c r="K205" s="28" t="n"/>
      <c r="L205" s="28" t="n"/>
      <c r="M205" s="28" t="n"/>
      <c r="N205" s="28" t="n"/>
    </row>
    <row r="206">
      <c r="J206" s="480" t="n"/>
      <c r="K206" s="28" t="n"/>
      <c r="L206" s="28" t="n"/>
      <c r="M206" s="28" t="n"/>
      <c r="N206" s="28" t="n"/>
    </row>
    <row r="207">
      <c r="J207" s="480" t="n"/>
      <c r="K207" s="28" t="n"/>
      <c r="L207" s="28" t="n"/>
      <c r="M207" s="28" t="n"/>
      <c r="N207" s="28" t="n"/>
    </row>
    <row r="208">
      <c r="J208" s="480" t="n"/>
      <c r="K208" s="28" t="n"/>
      <c r="L208" s="28" t="n"/>
      <c r="M208" s="28" t="n"/>
      <c r="N208" s="28" t="n"/>
    </row>
    <row r="209">
      <c r="J209" s="480" t="n"/>
      <c r="K209" s="28" t="n"/>
      <c r="L209" s="28" t="n"/>
      <c r="M209" s="28" t="n"/>
      <c r="N209" s="28" t="n"/>
    </row>
    <row r="210">
      <c r="J210" s="480" t="n"/>
      <c r="K210" s="28" t="n"/>
      <c r="L210" s="28" t="n"/>
      <c r="M210" s="28" t="n"/>
      <c r="N210" s="28" t="n"/>
    </row>
    <row r="211">
      <c r="J211" s="480" t="n"/>
      <c r="K211" s="28" t="n"/>
      <c r="L211" s="28" t="n"/>
      <c r="M211" s="28" t="n"/>
      <c r="N211" s="28" t="n"/>
    </row>
    <row r="212">
      <c r="J212" s="480" t="n"/>
      <c r="K212" s="28" t="n"/>
      <c r="L212" s="28" t="n"/>
      <c r="M212" s="28" t="n"/>
      <c r="N212" s="28" t="n"/>
    </row>
    <row r="213">
      <c r="J213" s="480" t="n"/>
      <c r="K213" s="28" t="n"/>
      <c r="L213" s="28" t="n"/>
      <c r="M213" s="28" t="n"/>
      <c r="N213" s="28" t="n"/>
    </row>
    <row r="214">
      <c r="J214" s="480" t="n"/>
      <c r="K214" s="28" t="n"/>
      <c r="L214" s="28" t="n"/>
      <c r="M214" s="28" t="n"/>
      <c r="N214" s="28" t="n"/>
    </row>
    <row r="215">
      <c r="J215" s="480" t="n"/>
      <c r="K215" s="28" t="n"/>
      <c r="L215" s="28" t="n"/>
      <c r="M215" s="28" t="n"/>
      <c r="N215" s="28" t="n"/>
    </row>
    <row r="216">
      <c r="J216" s="480" t="n"/>
      <c r="K216" s="28" t="n"/>
      <c r="L216" s="28" t="n"/>
      <c r="M216" s="28" t="n"/>
      <c r="N216" s="28" t="n"/>
    </row>
    <row r="217">
      <c r="J217" s="480" t="n"/>
      <c r="K217" s="28" t="n"/>
      <c r="L217" s="28" t="n"/>
      <c r="M217" s="28" t="n"/>
      <c r="N217" s="28" t="n"/>
    </row>
    <row r="218">
      <c r="J218" s="480" t="n"/>
      <c r="K218" s="28" t="n"/>
      <c r="L218" s="28" t="n"/>
      <c r="M218" s="28" t="n"/>
      <c r="N218" s="28" t="n"/>
    </row>
    <row r="219">
      <c r="J219" s="480" t="n"/>
      <c r="K219" s="28" t="n"/>
      <c r="L219" s="28" t="n"/>
      <c r="M219" s="28" t="n"/>
      <c r="N219" s="28" t="n"/>
    </row>
    <row r="220">
      <c r="J220" s="480" t="n"/>
      <c r="K220" s="28" t="n"/>
      <c r="L220" s="28" t="n"/>
      <c r="M220" s="28" t="n"/>
      <c r="N220" s="28" t="n"/>
    </row>
    <row r="221">
      <c r="J221" s="480" t="n"/>
      <c r="K221" s="28" t="n"/>
      <c r="L221" s="28" t="n"/>
      <c r="M221" s="28" t="n"/>
      <c r="N221" s="28" t="n"/>
    </row>
    <row r="222">
      <c r="J222" s="480" t="n"/>
      <c r="K222" s="28" t="n"/>
      <c r="L222" s="28" t="n"/>
      <c r="M222" s="28" t="n"/>
      <c r="N222" s="28" t="n"/>
    </row>
    <row r="223">
      <c r="J223" s="480" t="n"/>
      <c r="K223" s="28" t="n"/>
      <c r="L223" s="28" t="n"/>
      <c r="M223" s="28" t="n"/>
      <c r="N223" s="28" t="n"/>
    </row>
    <row r="224">
      <c r="J224" s="480" t="n"/>
      <c r="K224" s="28" t="n"/>
      <c r="L224" s="28" t="n"/>
      <c r="M224" s="28" t="n"/>
      <c r="N224" s="28" t="n"/>
    </row>
    <row r="225">
      <c r="J225" s="480" t="n"/>
      <c r="K225" s="28" t="n"/>
      <c r="L225" s="28" t="n"/>
      <c r="M225" s="28" t="n"/>
      <c r="N225" s="28" t="n"/>
    </row>
    <row r="226">
      <c r="J226" s="480" t="n"/>
      <c r="K226" s="28" t="n"/>
      <c r="L226" s="28" t="n"/>
      <c r="M226" s="28" t="n"/>
      <c r="N226" s="28" t="n"/>
    </row>
    <row r="227">
      <c r="J227" s="480" t="n"/>
      <c r="K227" s="28" t="n"/>
      <c r="L227" s="28" t="n"/>
      <c r="M227" s="28" t="n"/>
      <c r="N227" s="28" t="n"/>
    </row>
    <row r="228">
      <c r="J228" s="480" t="n"/>
      <c r="K228" s="28" t="n"/>
      <c r="L228" s="28" t="n"/>
      <c r="M228" s="28" t="n"/>
      <c r="N228" s="28" t="n"/>
    </row>
    <row r="229">
      <c r="J229" s="480" t="n"/>
      <c r="K229" s="28" t="n"/>
      <c r="L229" s="28" t="n"/>
      <c r="M229" s="28" t="n"/>
      <c r="N229" s="28" t="n"/>
    </row>
    <row r="230">
      <c r="J230" s="480" t="n"/>
      <c r="K230" s="28" t="n"/>
      <c r="L230" s="28" t="n"/>
      <c r="M230" s="28" t="n"/>
      <c r="N230" s="28" t="n"/>
    </row>
    <row r="231">
      <c r="J231" s="480" t="n"/>
      <c r="K231" s="28" t="n"/>
      <c r="L231" s="28" t="n"/>
      <c r="M231" s="28" t="n"/>
      <c r="N231" s="28" t="n"/>
    </row>
    <row r="232">
      <c r="J232" s="480" t="n"/>
      <c r="K232" s="28" t="n"/>
      <c r="L232" s="28" t="n"/>
      <c r="M232" s="28" t="n"/>
      <c r="N232" s="28" t="n"/>
    </row>
    <row r="233">
      <c r="J233" s="480" t="n"/>
      <c r="K233" s="28" t="n"/>
      <c r="L233" s="28" t="n"/>
      <c r="M233" s="28" t="n"/>
      <c r="N233" s="28" t="n"/>
    </row>
    <row r="234">
      <c r="J234" s="480" t="n"/>
      <c r="K234" s="28" t="n"/>
      <c r="L234" s="28" t="n"/>
      <c r="M234" s="28" t="n"/>
      <c r="N234" s="28" t="n"/>
    </row>
    <row r="235">
      <c r="J235" s="480" t="n"/>
      <c r="K235" s="28" t="n"/>
      <c r="L235" s="28" t="n"/>
      <c r="M235" s="28" t="n"/>
      <c r="N235" s="28" t="n"/>
    </row>
    <row r="236">
      <c r="J236" s="480" t="n"/>
      <c r="K236" s="28" t="n"/>
      <c r="L236" s="28" t="n"/>
      <c r="M236" s="28" t="n"/>
      <c r="N236" s="28" t="n"/>
    </row>
    <row r="237">
      <c r="J237" s="480" t="n"/>
      <c r="K237" s="28" t="n"/>
      <c r="L237" s="28" t="n"/>
      <c r="M237" s="28" t="n"/>
      <c r="N237" s="28" t="n"/>
    </row>
    <row r="238">
      <c r="J238" s="480" t="n"/>
      <c r="K238" s="28" t="n"/>
      <c r="L238" s="28" t="n"/>
      <c r="M238" s="28" t="n"/>
      <c r="N238" s="28" t="n"/>
    </row>
    <row r="239">
      <c r="J239" s="480" t="n"/>
      <c r="K239" s="28" t="n"/>
      <c r="L239" s="28" t="n"/>
      <c r="M239" s="28" t="n"/>
      <c r="N239" s="28" t="n"/>
    </row>
    <row r="240">
      <c r="J240" s="480" t="n"/>
      <c r="K240" s="28" t="n"/>
      <c r="L240" s="28" t="n"/>
      <c r="M240" s="28" t="n"/>
      <c r="N240" s="28" t="n"/>
    </row>
    <row r="241">
      <c r="J241" s="480" t="n"/>
      <c r="K241" s="28" t="n"/>
      <c r="L241" s="28" t="n"/>
      <c r="M241" s="28" t="n"/>
      <c r="N241" s="28" t="n"/>
    </row>
    <row r="242">
      <c r="J242" s="480" t="n"/>
      <c r="K242" s="28" t="n"/>
      <c r="L242" s="28" t="n"/>
      <c r="M242" s="28" t="n"/>
      <c r="N242" s="28" t="n"/>
    </row>
    <row r="243">
      <c r="J243" s="480" t="n"/>
      <c r="K243" s="28" t="n"/>
      <c r="L243" s="28" t="n"/>
      <c r="M243" s="28" t="n"/>
      <c r="N243" s="28" t="n"/>
    </row>
    <row r="244">
      <c r="J244" s="480" t="n"/>
      <c r="K244" s="28" t="n"/>
      <c r="L244" s="28" t="n"/>
      <c r="M244" s="28" t="n"/>
      <c r="N244" s="28" t="n"/>
    </row>
    <row r="245">
      <c r="J245" s="480" t="n"/>
      <c r="K245" s="28" t="n"/>
      <c r="L245" s="28" t="n"/>
      <c r="M245" s="28" t="n"/>
      <c r="N245" s="28" t="n"/>
    </row>
    <row r="246">
      <c r="J246" s="480" t="n"/>
      <c r="K246" s="28" t="n"/>
      <c r="L246" s="28" t="n"/>
      <c r="M246" s="28" t="n"/>
      <c r="N246" s="28" t="n"/>
    </row>
    <row r="247">
      <c r="J247" s="480" t="n"/>
      <c r="K247" s="28" t="n"/>
      <c r="L247" s="28" t="n"/>
      <c r="M247" s="28" t="n"/>
      <c r="N247" s="28" t="n"/>
    </row>
    <row r="248">
      <c r="J248" s="480" t="n"/>
      <c r="K248" s="28" t="n"/>
      <c r="L248" s="28" t="n"/>
      <c r="M248" s="28" t="n"/>
      <c r="N248" s="28" t="n"/>
    </row>
    <row r="249">
      <c r="J249" s="480" t="n"/>
      <c r="K249" s="28" t="n"/>
      <c r="L249" s="28" t="n"/>
      <c r="M249" s="28" t="n"/>
      <c r="N249" s="28" t="n"/>
    </row>
    <row r="250">
      <c r="J250" s="480" t="n"/>
      <c r="K250" s="28" t="n"/>
      <c r="L250" s="28" t="n"/>
      <c r="M250" s="28" t="n"/>
      <c r="N250" s="28" t="n"/>
    </row>
    <row r="251">
      <c r="J251" s="480" t="n"/>
      <c r="K251" s="28" t="n"/>
      <c r="L251" s="28" t="n"/>
      <c r="M251" s="28" t="n"/>
      <c r="N251" s="28" t="n"/>
    </row>
    <row r="252">
      <c r="J252" s="480" t="n"/>
      <c r="K252" s="28" t="n"/>
      <c r="L252" s="28" t="n"/>
      <c r="M252" s="28" t="n"/>
      <c r="N252" s="28" t="n"/>
    </row>
    <row r="253">
      <c r="J253" s="480" t="n"/>
      <c r="K253" s="28" t="n"/>
      <c r="L253" s="28" t="n"/>
      <c r="M253" s="28" t="n"/>
      <c r="N253" s="28" t="n"/>
    </row>
    <row r="254">
      <c r="J254" s="480" t="n"/>
      <c r="K254" s="28" t="n"/>
      <c r="L254" s="28" t="n"/>
      <c r="M254" s="28" t="n"/>
      <c r="N254" s="28" t="n"/>
    </row>
    <row r="255">
      <c r="J255" s="480" t="n"/>
      <c r="K255" s="28" t="n"/>
      <c r="L255" s="28" t="n"/>
      <c r="M255" s="28" t="n"/>
      <c r="N255" s="28" t="n"/>
    </row>
    <row r="256">
      <c r="J256" s="480" t="n"/>
      <c r="K256" s="28" t="n"/>
      <c r="L256" s="28" t="n"/>
      <c r="M256" s="28" t="n"/>
      <c r="N256" s="28" t="n"/>
    </row>
    <row r="257">
      <c r="J257" s="480" t="n"/>
      <c r="K257" s="28" t="n"/>
      <c r="L257" s="28" t="n"/>
      <c r="M257" s="28" t="n"/>
      <c r="N257" s="28" t="n"/>
    </row>
    <row r="258">
      <c r="J258" s="480" t="n"/>
      <c r="K258" s="28" t="n"/>
      <c r="L258" s="28" t="n"/>
      <c r="M258" s="28" t="n"/>
      <c r="N258" s="28" t="n"/>
    </row>
    <row r="259">
      <c r="J259" s="480" t="n"/>
      <c r="K259" s="28" t="n"/>
      <c r="L259" s="28" t="n"/>
      <c r="M259" s="28" t="n"/>
      <c r="N259" s="28" t="n"/>
    </row>
    <row r="260">
      <c r="J260" s="480" t="n"/>
      <c r="K260" s="28" t="n"/>
      <c r="L260" s="28" t="n"/>
      <c r="M260" s="28" t="n"/>
      <c r="N260" s="28" t="n"/>
    </row>
    <row r="261">
      <c r="J261" s="480" t="n"/>
      <c r="K261" s="28" t="n"/>
      <c r="L261" s="28" t="n"/>
      <c r="M261" s="28" t="n"/>
      <c r="N261" s="28" t="n"/>
    </row>
    <row r="262">
      <c r="J262" s="480" t="n"/>
      <c r="K262" s="28" t="n"/>
      <c r="L262" s="28" t="n"/>
      <c r="M262" s="28" t="n"/>
      <c r="N262" s="28" t="n"/>
    </row>
    <row r="263">
      <c r="J263" s="480" t="n"/>
      <c r="K263" s="28" t="n"/>
      <c r="L263" s="28" t="n"/>
      <c r="M263" s="28" t="n"/>
      <c r="N263" s="28" t="n"/>
    </row>
    <row r="264">
      <c r="J264" s="480" t="n"/>
      <c r="K264" s="28" t="n"/>
      <c r="L264" s="28" t="n"/>
      <c r="M264" s="28" t="n"/>
      <c r="N264" s="28" t="n"/>
    </row>
    <row r="265">
      <c r="J265" s="480" t="n"/>
      <c r="K265" s="28" t="n"/>
      <c r="L265" s="28" t="n"/>
      <c r="M265" s="28" t="n"/>
      <c r="N265" s="28" t="n"/>
    </row>
    <row r="266">
      <c r="J266" s="480" t="n"/>
      <c r="K266" s="28" t="n"/>
      <c r="L266" s="28" t="n"/>
      <c r="M266" s="28" t="n"/>
      <c r="N266" s="28" t="n"/>
    </row>
    <row r="267">
      <c r="J267" s="480" t="n"/>
      <c r="K267" s="28" t="n"/>
      <c r="L267" s="28" t="n"/>
      <c r="M267" s="28" t="n"/>
      <c r="N267" s="28" t="n"/>
    </row>
    <row r="268">
      <c r="J268" s="480" t="n"/>
      <c r="K268" s="28" t="n"/>
      <c r="L268" s="28" t="n"/>
      <c r="M268" s="28" t="n"/>
      <c r="N268" s="28" t="n"/>
    </row>
    <row r="269">
      <c r="J269" s="480" t="n"/>
      <c r="K269" s="28" t="n"/>
      <c r="L269" s="28" t="n"/>
      <c r="M269" s="28" t="n"/>
      <c r="N269" s="28" t="n"/>
    </row>
    <row r="270">
      <c r="J270" s="480" t="n"/>
      <c r="K270" s="28" t="n"/>
      <c r="L270" s="28" t="n"/>
      <c r="M270" s="28" t="n"/>
      <c r="N270" s="28" t="n"/>
    </row>
    <row r="271">
      <c r="J271" s="480" t="n"/>
      <c r="K271" s="28" t="n"/>
      <c r="L271" s="28" t="n"/>
      <c r="M271" s="28" t="n"/>
      <c r="N271" s="28" t="n"/>
    </row>
    <row r="272">
      <c r="J272" s="480" t="n"/>
      <c r="K272" s="28" t="n"/>
      <c r="L272" s="28" t="n"/>
      <c r="M272" s="28" t="n"/>
      <c r="N272" s="28" t="n"/>
    </row>
    <row r="273">
      <c r="J273" s="480" t="n"/>
      <c r="K273" s="28" t="n"/>
      <c r="L273" s="28" t="n"/>
      <c r="M273" s="28" t="n"/>
      <c r="N273" s="28" t="n"/>
    </row>
    <row r="274">
      <c r="J274" s="480" t="n"/>
      <c r="K274" s="28" t="n"/>
      <c r="L274" s="28" t="n"/>
      <c r="M274" s="28" t="n"/>
      <c r="N274" s="28" t="n"/>
    </row>
    <row r="275">
      <c r="J275" s="480" t="n"/>
      <c r="K275" s="28" t="n"/>
      <c r="L275" s="28" t="n"/>
      <c r="M275" s="28" t="n"/>
      <c r="N275" s="28" t="n"/>
    </row>
    <row r="276">
      <c r="J276" s="480" t="n"/>
      <c r="K276" s="28" t="n"/>
      <c r="L276" s="28" t="n"/>
      <c r="M276" s="28" t="n"/>
      <c r="N276" s="28" t="n"/>
    </row>
    <row r="277">
      <c r="J277" s="480" t="n"/>
      <c r="K277" s="28" t="n"/>
      <c r="L277" s="28" t="n"/>
      <c r="M277" s="28" t="n"/>
      <c r="N277" s="28" t="n"/>
    </row>
    <row r="278">
      <c r="J278" s="480" t="n"/>
      <c r="K278" s="28" t="n"/>
      <c r="L278" s="28" t="n"/>
      <c r="M278" s="28" t="n"/>
      <c r="N278" s="28" t="n"/>
    </row>
    <row r="279">
      <c r="J279" s="480" t="n"/>
      <c r="K279" s="28" t="n"/>
      <c r="L279" s="28" t="n"/>
      <c r="M279" s="28" t="n"/>
      <c r="N279" s="28" t="n"/>
    </row>
    <row r="280">
      <c r="J280" s="480" t="n"/>
      <c r="K280" s="28" t="n"/>
      <c r="L280" s="28" t="n"/>
      <c r="M280" s="28" t="n"/>
      <c r="N280" s="28" t="n"/>
    </row>
    <row r="281">
      <c r="J281" s="480" t="n"/>
      <c r="K281" s="28" t="n"/>
      <c r="L281" s="28" t="n"/>
      <c r="M281" s="28" t="n"/>
      <c r="N281" s="28" t="n"/>
    </row>
    <row r="282">
      <c r="J282" s="480" t="n"/>
      <c r="K282" s="28" t="n"/>
      <c r="L282" s="28" t="n"/>
      <c r="M282" s="28" t="n"/>
      <c r="N282" s="28" t="n"/>
    </row>
    <row r="283">
      <c r="J283" s="480" t="n"/>
      <c r="K283" s="28" t="n"/>
      <c r="L283" s="28" t="n"/>
      <c r="M283" s="28" t="n"/>
      <c r="N283" s="28" t="n"/>
    </row>
    <row r="284">
      <c r="J284" s="480" t="n"/>
      <c r="K284" s="28" t="n"/>
      <c r="L284" s="28" t="n"/>
      <c r="M284" s="28" t="n"/>
      <c r="N284" s="28" t="n"/>
    </row>
    <row r="285">
      <c r="J285" s="480" t="n"/>
      <c r="K285" s="28" t="n"/>
      <c r="L285" s="28" t="n"/>
      <c r="M285" s="28" t="n"/>
      <c r="N285" s="28" t="n"/>
    </row>
    <row r="286">
      <c r="J286" s="480" t="n"/>
      <c r="K286" s="28" t="n"/>
      <c r="L286" s="28" t="n"/>
      <c r="M286" s="28" t="n"/>
      <c r="N286" s="28" t="n"/>
    </row>
    <row r="287">
      <c r="J287" s="480" t="n"/>
      <c r="K287" s="28" t="n"/>
      <c r="L287" s="28" t="n"/>
      <c r="M287" s="28" t="n"/>
      <c r="N287" s="28" t="n"/>
    </row>
    <row r="288">
      <c r="J288" s="480" t="n"/>
      <c r="K288" s="28" t="n"/>
      <c r="L288" s="28" t="n"/>
      <c r="M288" s="28" t="n"/>
      <c r="N288" s="28" t="n"/>
    </row>
    <row r="289">
      <c r="J289" s="480" t="n"/>
      <c r="K289" s="28" t="n"/>
      <c r="L289" s="28" t="n"/>
      <c r="M289" s="28" t="n"/>
      <c r="N289" s="28" t="n"/>
    </row>
    <row r="290">
      <c r="J290" s="480" t="n"/>
      <c r="K290" s="28" t="n"/>
      <c r="L290" s="28" t="n"/>
      <c r="M290" s="28" t="n"/>
      <c r="N290" s="28" t="n"/>
    </row>
    <row r="291">
      <c r="J291" s="480" t="n"/>
      <c r="K291" s="28" t="n"/>
      <c r="L291" s="28" t="n"/>
      <c r="M291" s="28" t="n"/>
      <c r="N291" s="28" t="n"/>
    </row>
    <row r="292">
      <c r="J292" s="480" t="n"/>
      <c r="K292" s="28" t="n"/>
      <c r="L292" s="28" t="n"/>
      <c r="M292" s="28" t="n"/>
      <c r="N292" s="28" t="n"/>
    </row>
    <row r="293">
      <c r="J293" s="480" t="n"/>
      <c r="K293" s="28" t="n"/>
      <c r="L293" s="28" t="n"/>
      <c r="M293" s="28" t="n"/>
      <c r="N293" s="28" t="n"/>
    </row>
    <row r="294">
      <c r="J294" s="480" t="n"/>
      <c r="K294" s="28" t="n"/>
      <c r="L294" s="28" t="n"/>
      <c r="M294" s="28" t="n"/>
      <c r="N294" s="28" t="n"/>
    </row>
    <row r="295">
      <c r="J295" s="480" t="n"/>
      <c r="K295" s="28" t="n"/>
      <c r="L295" s="28" t="n"/>
      <c r="M295" s="28" t="n"/>
      <c r="N295" s="28" t="n"/>
    </row>
    <row r="296">
      <c r="J296" s="480" t="n"/>
      <c r="K296" s="28" t="n"/>
      <c r="L296" s="28" t="n"/>
      <c r="M296" s="28" t="n"/>
      <c r="N296" s="28" t="n"/>
    </row>
    <row r="297">
      <c r="J297" s="480" t="n"/>
      <c r="K297" s="28" t="n"/>
      <c r="L297" s="28" t="n"/>
      <c r="M297" s="28" t="n"/>
      <c r="N297" s="28" t="n"/>
    </row>
    <row r="298">
      <c r="J298" s="480" t="n"/>
      <c r="K298" s="28" t="n"/>
      <c r="L298" s="28" t="n"/>
      <c r="M298" s="28" t="n"/>
      <c r="N298" s="28" t="n"/>
    </row>
    <row r="299">
      <c r="J299" s="480" t="n"/>
      <c r="K299" s="28" t="n"/>
      <c r="L299" s="28" t="n"/>
      <c r="M299" s="28" t="n"/>
      <c r="N299" s="28" t="n"/>
    </row>
    <row r="300">
      <c r="J300" s="480" t="n"/>
      <c r="K300" s="28" t="n"/>
      <c r="L300" s="28" t="n"/>
      <c r="M300" s="28" t="n"/>
      <c r="N300" s="28" t="n"/>
    </row>
    <row r="301">
      <c r="J301" s="480" t="n"/>
      <c r="K301" s="28" t="n"/>
      <c r="L301" s="28" t="n"/>
      <c r="M301" s="28" t="n"/>
      <c r="N301" s="28" t="n"/>
    </row>
    <row r="302">
      <c r="J302" s="480" t="n"/>
      <c r="K302" s="28" t="n"/>
      <c r="L302" s="28" t="n"/>
      <c r="M302" s="28" t="n"/>
      <c r="N302" s="28" t="n"/>
    </row>
    <row r="303">
      <c r="J303" s="480" t="n"/>
      <c r="K303" s="28" t="n"/>
      <c r="L303" s="28" t="n"/>
      <c r="M303" s="28" t="n"/>
      <c r="N303" s="28" t="n"/>
    </row>
    <row r="304">
      <c r="J304" s="480" t="n"/>
      <c r="K304" s="28" t="n"/>
      <c r="L304" s="28" t="n"/>
      <c r="M304" s="28" t="n"/>
      <c r="N304" s="28" t="n"/>
    </row>
    <row r="305">
      <c r="J305" s="480" t="n"/>
      <c r="K305" s="28" t="n"/>
      <c r="L305" s="28" t="n"/>
      <c r="M305" s="28" t="n"/>
      <c r="N305" s="28" t="n"/>
    </row>
    <row r="306">
      <c r="J306" s="480" t="n"/>
      <c r="K306" s="28" t="n"/>
      <c r="L306" s="28" t="n"/>
      <c r="M306" s="28" t="n"/>
      <c r="N306" s="28" t="n"/>
    </row>
    <row r="307">
      <c r="J307" s="480" t="n"/>
      <c r="K307" s="28" t="n"/>
      <c r="L307" s="28" t="n"/>
      <c r="M307" s="28" t="n"/>
      <c r="N307" s="28" t="n"/>
    </row>
    <row r="308">
      <c r="J308" s="480" t="n"/>
      <c r="K308" s="28" t="n"/>
      <c r="L308" s="28" t="n"/>
      <c r="M308" s="28" t="n"/>
      <c r="N308" s="28" t="n"/>
    </row>
    <row r="309">
      <c r="J309" s="480" t="n"/>
      <c r="K309" s="28" t="n"/>
      <c r="L309" s="28" t="n"/>
      <c r="M309" s="28" t="n"/>
      <c r="N309" s="28" t="n"/>
    </row>
    <row r="310">
      <c r="J310" s="480" t="n"/>
      <c r="K310" s="28" t="n"/>
      <c r="L310" s="28" t="n"/>
      <c r="M310" s="28" t="n"/>
      <c r="N310" s="28" t="n"/>
    </row>
    <row r="311">
      <c r="J311" s="480" t="n"/>
      <c r="K311" s="28" t="n"/>
      <c r="L311" s="28" t="n"/>
      <c r="M311" s="28" t="n"/>
      <c r="N311" s="28" t="n"/>
    </row>
    <row r="312">
      <c r="J312" s="480" t="n"/>
      <c r="K312" s="28" t="n"/>
      <c r="L312" s="28" t="n"/>
      <c r="M312" s="28" t="n"/>
      <c r="N312" s="28" t="n"/>
    </row>
    <row r="313">
      <c r="J313" s="480" t="n"/>
      <c r="K313" s="28" t="n"/>
      <c r="L313" s="28" t="n"/>
      <c r="M313" s="28" t="n"/>
      <c r="N313" s="28" t="n"/>
    </row>
    <row r="314">
      <c r="J314" s="480" t="n"/>
      <c r="K314" s="28" t="n"/>
      <c r="L314" s="28" t="n"/>
      <c r="M314" s="28" t="n"/>
      <c r="N314" s="28" t="n"/>
    </row>
    <row r="315">
      <c r="J315" s="480" t="n"/>
      <c r="K315" s="28" t="n"/>
      <c r="L315" s="28" t="n"/>
      <c r="M315" s="28" t="n"/>
      <c r="N315" s="28" t="n"/>
    </row>
    <row r="316">
      <c r="J316" s="480" t="n"/>
      <c r="K316" s="28" t="n"/>
      <c r="L316" s="28" t="n"/>
      <c r="M316" s="28" t="n"/>
      <c r="N316" s="28" t="n"/>
    </row>
    <row r="317">
      <c r="J317" s="480" t="n"/>
      <c r="K317" s="28" t="n"/>
      <c r="L317" s="28" t="n"/>
      <c r="M317" s="28" t="n"/>
      <c r="N317" s="28" t="n"/>
    </row>
    <row r="318">
      <c r="J318" s="480" t="n"/>
      <c r="K318" s="28" t="n"/>
      <c r="L318" s="28" t="n"/>
      <c r="M318" s="28" t="n"/>
      <c r="N318" s="28" t="n"/>
    </row>
    <row r="319">
      <c r="J319" s="480" t="n"/>
      <c r="K319" s="28" t="n"/>
      <c r="L319" s="28" t="n"/>
      <c r="M319" s="28" t="n"/>
      <c r="N319" s="28" t="n"/>
    </row>
    <row r="320">
      <c r="J320" s="480" t="n"/>
      <c r="K320" s="28" t="n"/>
      <c r="L320" s="28" t="n"/>
      <c r="M320" s="28" t="n"/>
      <c r="N320" s="28" t="n"/>
    </row>
    <row r="321">
      <c r="J321" s="480" t="n"/>
      <c r="K321" s="28" t="n"/>
      <c r="L321" s="28" t="n"/>
      <c r="M321" s="28" t="n"/>
      <c r="N321" s="28" t="n"/>
    </row>
    <row r="322">
      <c r="J322" s="480" t="n"/>
      <c r="K322" s="28" t="n"/>
      <c r="L322" s="28" t="n"/>
      <c r="M322" s="28" t="n"/>
      <c r="N322" s="28" t="n"/>
    </row>
    <row r="323">
      <c r="J323" s="480" t="n"/>
      <c r="K323" s="28" t="n"/>
      <c r="L323" s="28" t="n"/>
      <c r="M323" s="28" t="n"/>
      <c r="N323" s="28" t="n"/>
    </row>
    <row r="324">
      <c r="J324" s="480" t="n"/>
      <c r="K324" s="28" t="n"/>
      <c r="L324" s="28" t="n"/>
      <c r="M324" s="28" t="n"/>
      <c r="N324" s="28" t="n"/>
    </row>
    <row r="325">
      <c r="J325" s="480" t="n"/>
      <c r="K325" s="28" t="n"/>
      <c r="L325" s="28" t="n"/>
      <c r="M325" s="28" t="n"/>
      <c r="N325" s="28" t="n"/>
    </row>
    <row r="326">
      <c r="J326" s="480" t="n"/>
      <c r="K326" s="28" t="n"/>
      <c r="L326" s="28" t="n"/>
      <c r="M326" s="28" t="n"/>
      <c r="N326" s="28" t="n"/>
    </row>
    <row r="327">
      <c r="J327" s="480" t="n"/>
      <c r="K327" s="28" t="n"/>
      <c r="L327" s="28" t="n"/>
      <c r="M327" s="28" t="n"/>
      <c r="N327" s="28" t="n"/>
    </row>
    <row r="328">
      <c r="J328" s="480" t="n"/>
      <c r="K328" s="28" t="n"/>
      <c r="L328" s="28" t="n"/>
      <c r="M328" s="28" t="n"/>
      <c r="N328" s="28" t="n"/>
    </row>
    <row r="329">
      <c r="J329" s="480" t="n"/>
      <c r="K329" s="28" t="n"/>
      <c r="L329" s="28" t="n"/>
      <c r="M329" s="28" t="n"/>
      <c r="N329" s="28" t="n"/>
    </row>
    <row r="330">
      <c r="J330" s="480" t="n"/>
      <c r="K330" s="28" t="n"/>
      <c r="L330" s="28" t="n"/>
      <c r="M330" s="28" t="n"/>
      <c r="N330" s="28" t="n"/>
    </row>
    <row r="331">
      <c r="J331" s="480" t="n"/>
      <c r="K331" s="28" t="n"/>
      <c r="L331" s="28" t="n"/>
      <c r="M331" s="28" t="n"/>
      <c r="N331" s="28" t="n"/>
    </row>
    <row r="332">
      <c r="J332" s="480" t="n"/>
      <c r="K332" s="28" t="n"/>
      <c r="L332" s="28" t="n"/>
      <c r="M332" s="28" t="n"/>
      <c r="N332" s="28" t="n"/>
    </row>
    <row r="333">
      <c r="J333" s="480" t="n"/>
      <c r="K333" s="28" t="n"/>
      <c r="L333" s="28" t="n"/>
      <c r="M333" s="28" t="n"/>
      <c r="N333" s="28" t="n"/>
    </row>
    <row r="334">
      <c r="J334" s="480" t="n"/>
      <c r="K334" s="28" t="n"/>
      <c r="L334" s="28" t="n"/>
      <c r="M334" s="28" t="n"/>
      <c r="N334" s="28" t="n"/>
    </row>
    <row r="335">
      <c r="J335" s="480" t="n"/>
      <c r="K335" s="28" t="n"/>
      <c r="L335" s="28" t="n"/>
      <c r="M335" s="28" t="n"/>
      <c r="N335" s="28" t="n"/>
    </row>
    <row r="336">
      <c r="J336" s="480" t="n"/>
      <c r="K336" s="28" t="n"/>
      <c r="L336" s="28" t="n"/>
      <c r="M336" s="28" t="n"/>
      <c r="N336" s="28" t="n"/>
    </row>
    <row r="337">
      <c r="J337" s="480" t="n"/>
      <c r="K337" s="28" t="n"/>
      <c r="L337" s="28" t="n"/>
      <c r="M337" s="28" t="n"/>
      <c r="N337" s="28" t="n"/>
    </row>
    <row r="338">
      <c r="J338" s="480" t="n"/>
      <c r="K338" s="28" t="n"/>
      <c r="L338" s="28" t="n"/>
      <c r="M338" s="28" t="n"/>
      <c r="N338" s="28" t="n"/>
    </row>
    <row r="339">
      <c r="J339" s="480" t="n"/>
      <c r="K339" s="28" t="n"/>
      <c r="L339" s="28" t="n"/>
      <c r="M339" s="28" t="n"/>
      <c r="N339" s="28" t="n"/>
    </row>
    <row r="340">
      <c r="J340" s="480" t="n"/>
      <c r="K340" s="28" t="n"/>
      <c r="L340" s="28" t="n"/>
      <c r="M340" s="28" t="n"/>
      <c r="N340" s="28" t="n"/>
    </row>
    <row r="341">
      <c r="J341" s="480" t="n"/>
      <c r="K341" s="28" t="n"/>
      <c r="L341" s="28" t="n"/>
      <c r="M341" s="28" t="n"/>
      <c r="N341" s="28" t="n"/>
    </row>
    <row r="342">
      <c r="J342" s="480" t="n"/>
      <c r="K342" s="28" t="n"/>
      <c r="L342" s="28" t="n"/>
      <c r="M342" s="28" t="n"/>
      <c r="N342" s="28" t="n"/>
    </row>
    <row r="343">
      <c r="J343" s="480" t="n"/>
      <c r="K343" s="28" t="n"/>
      <c r="L343" s="28" t="n"/>
      <c r="M343" s="28" t="n"/>
      <c r="N343" s="28" t="n"/>
    </row>
    <row r="344">
      <c r="J344" s="480" t="n"/>
      <c r="K344" s="28" t="n"/>
      <c r="L344" s="28" t="n"/>
      <c r="M344" s="28" t="n"/>
      <c r="N344" s="28" t="n"/>
    </row>
    <row r="345">
      <c r="J345" s="480" t="n"/>
      <c r="K345" s="28" t="n"/>
      <c r="L345" s="28" t="n"/>
      <c r="M345" s="28" t="n"/>
      <c r="N345" s="28" t="n"/>
    </row>
    <row r="346">
      <c r="J346" s="480" t="n"/>
      <c r="K346" s="28" t="n"/>
      <c r="L346" s="28" t="n"/>
      <c r="M346" s="28" t="n"/>
      <c r="N346" s="28" t="n"/>
    </row>
    <row r="347">
      <c r="J347" s="480" t="n"/>
      <c r="K347" s="28" t="n"/>
      <c r="L347" s="28" t="n"/>
      <c r="M347" s="28" t="n"/>
      <c r="N347" s="28" t="n"/>
    </row>
    <row r="348">
      <c r="J348" s="480" t="n"/>
      <c r="K348" s="28" t="n"/>
      <c r="L348" s="28" t="n"/>
      <c r="M348" s="28" t="n"/>
      <c r="N348" s="28" t="n"/>
    </row>
    <row r="349">
      <c r="J349" s="480" t="n"/>
      <c r="K349" s="28" t="n"/>
      <c r="L349" s="28" t="n"/>
      <c r="M349" s="28" t="n"/>
      <c r="N349" s="28" t="n"/>
    </row>
    <row r="350">
      <c r="J350" s="480" t="n"/>
      <c r="K350" s="28" t="n"/>
      <c r="L350" s="28" t="n"/>
      <c r="M350" s="28" t="n"/>
      <c r="N350" s="28" t="n"/>
    </row>
    <row r="351">
      <c r="J351" s="480" t="n"/>
      <c r="K351" s="28" t="n"/>
      <c r="L351" s="28" t="n"/>
      <c r="M351" s="28" t="n"/>
      <c r="N351" s="28" t="n"/>
    </row>
    <row r="352">
      <c r="J352" s="480" t="n"/>
      <c r="K352" s="28" t="n"/>
      <c r="L352" s="28" t="n"/>
      <c r="M352" s="28" t="n"/>
      <c r="N352" s="28" t="n"/>
    </row>
    <row r="353">
      <c r="J353" s="480" t="n"/>
      <c r="K353" s="28" t="n"/>
      <c r="L353" s="28" t="n"/>
      <c r="M353" s="28" t="n"/>
      <c r="N353" s="28" t="n"/>
    </row>
    <row r="354">
      <c r="J354" s="480" t="n"/>
      <c r="K354" s="28" t="n"/>
      <c r="L354" s="28" t="n"/>
      <c r="M354" s="28" t="n"/>
      <c r="N354" s="28" t="n"/>
    </row>
    <row r="355">
      <c r="J355" s="480" t="n"/>
      <c r="K355" s="28" t="n"/>
      <c r="L355" s="28" t="n"/>
      <c r="M355" s="28" t="n"/>
      <c r="N355" s="28" t="n"/>
    </row>
    <row r="356">
      <c r="J356" s="480" t="n"/>
      <c r="K356" s="28" t="n"/>
      <c r="L356" s="28" t="n"/>
      <c r="M356" s="28" t="n"/>
      <c r="N356" s="28" t="n"/>
    </row>
    <row r="357">
      <c r="J357" s="480" t="n"/>
      <c r="K357" s="28" t="n"/>
      <c r="L357" s="28" t="n"/>
      <c r="M357" s="28" t="n"/>
      <c r="N357" s="28" t="n"/>
    </row>
    <row r="358">
      <c r="J358" s="480" t="n"/>
      <c r="K358" s="28" t="n"/>
      <c r="L358" s="28" t="n"/>
      <c r="M358" s="28" t="n"/>
      <c r="N358" s="28" t="n"/>
    </row>
    <row r="359">
      <c r="J359" s="480" t="n"/>
      <c r="K359" s="28" t="n"/>
      <c r="L359" s="28" t="n"/>
      <c r="M359" s="28" t="n"/>
      <c r="N359" s="28" t="n"/>
    </row>
    <row r="360">
      <c r="J360" s="480" t="n"/>
      <c r="K360" s="28" t="n"/>
      <c r="L360" s="28" t="n"/>
      <c r="M360" s="28" t="n"/>
      <c r="N360" s="28" t="n"/>
    </row>
    <row r="361">
      <c r="J361" s="480" t="n"/>
      <c r="K361" s="28" t="n"/>
      <c r="L361" s="28" t="n"/>
      <c r="M361" s="28" t="n"/>
      <c r="N361" s="28" t="n"/>
    </row>
    <row r="362">
      <c r="J362" s="480" t="n"/>
      <c r="K362" s="28" t="n"/>
      <c r="L362" s="28" t="n"/>
      <c r="M362" s="28" t="n"/>
      <c r="N362" s="28" t="n"/>
    </row>
    <row r="363">
      <c r="J363" s="480" t="n"/>
      <c r="K363" s="28" t="n"/>
      <c r="L363" s="28" t="n"/>
      <c r="M363" s="28" t="n"/>
      <c r="N363" s="28" t="n"/>
    </row>
    <row r="364">
      <c r="J364" s="480" t="n"/>
      <c r="K364" s="28" t="n"/>
      <c r="L364" s="28" t="n"/>
      <c r="M364" s="28" t="n"/>
      <c r="N364" s="28" t="n"/>
    </row>
    <row r="365">
      <c r="J365" s="480" t="n"/>
      <c r="K365" s="28" t="n"/>
      <c r="L365" s="28" t="n"/>
      <c r="M365" s="28" t="n"/>
      <c r="N365" s="28" t="n"/>
    </row>
    <row r="366">
      <c r="J366" s="480" t="n"/>
      <c r="K366" s="28" t="n"/>
      <c r="L366" s="28" t="n"/>
      <c r="M366" s="28" t="n"/>
      <c r="N366" s="28" t="n"/>
    </row>
    <row r="367">
      <c r="J367" s="480" t="n"/>
      <c r="K367" s="28" t="n"/>
      <c r="L367" s="28" t="n"/>
      <c r="M367" s="28" t="n"/>
      <c r="N367" s="28" t="n"/>
    </row>
    <row r="368">
      <c r="J368" s="480" t="n"/>
      <c r="K368" s="28" t="n"/>
      <c r="L368" s="28" t="n"/>
      <c r="M368" s="28" t="n"/>
      <c r="N368" s="28" t="n"/>
    </row>
    <row r="369">
      <c r="J369" s="480" t="n"/>
      <c r="K369" s="28" t="n"/>
      <c r="L369" s="28" t="n"/>
      <c r="M369" s="28" t="n"/>
      <c r="N369" s="28" t="n"/>
    </row>
    <row r="370">
      <c r="J370" s="480" t="n"/>
      <c r="K370" s="28" t="n"/>
      <c r="L370" s="28" t="n"/>
      <c r="M370" s="28" t="n"/>
      <c r="N370" s="28" t="n"/>
    </row>
    <row r="371">
      <c r="J371" s="480" t="n"/>
      <c r="K371" s="28" t="n"/>
      <c r="L371" s="28" t="n"/>
      <c r="M371" s="28" t="n"/>
      <c r="N371" s="28" t="n"/>
    </row>
    <row r="372">
      <c r="J372" s="480" t="n"/>
      <c r="K372" s="28" t="n"/>
      <c r="L372" s="28" t="n"/>
      <c r="M372" s="28" t="n"/>
      <c r="N372" s="28" t="n"/>
    </row>
    <row r="373">
      <c r="J373" s="480" t="n"/>
      <c r="K373" s="28" t="n"/>
      <c r="L373" s="28" t="n"/>
      <c r="M373" s="28" t="n"/>
      <c r="N373" s="28" t="n"/>
    </row>
    <row r="374">
      <c r="J374" s="480" t="n"/>
      <c r="K374" s="28" t="n"/>
      <c r="L374" s="28" t="n"/>
      <c r="M374" s="28" t="n"/>
      <c r="N374" s="28" t="n"/>
    </row>
    <row r="375">
      <c r="J375" s="480" t="n"/>
      <c r="K375" s="28" t="n"/>
      <c r="L375" s="28" t="n"/>
      <c r="M375" s="28" t="n"/>
      <c r="N375" s="28" t="n"/>
    </row>
    <row r="376">
      <c r="J376" s="480" t="n"/>
      <c r="K376" s="28" t="n"/>
      <c r="L376" s="28" t="n"/>
      <c r="M376" s="28" t="n"/>
      <c r="N376" s="28" t="n"/>
    </row>
    <row r="377">
      <c r="J377" s="480" t="n"/>
      <c r="K377" s="28" t="n"/>
      <c r="L377" s="28" t="n"/>
      <c r="M377" s="28" t="n"/>
      <c r="N377" s="28" t="n"/>
    </row>
    <row r="378">
      <c r="J378" s="480" t="n"/>
      <c r="K378" s="28" t="n"/>
      <c r="L378" s="28" t="n"/>
      <c r="M378" s="28" t="n"/>
      <c r="N378" s="28" t="n"/>
    </row>
    <row r="379">
      <c r="J379" s="480" t="n"/>
      <c r="K379" s="28" t="n"/>
      <c r="L379" s="28" t="n"/>
      <c r="M379" s="28" t="n"/>
      <c r="N379" s="28" t="n"/>
    </row>
    <row r="380">
      <c r="J380" s="480" t="n"/>
      <c r="K380" s="28" t="n"/>
      <c r="L380" s="28" t="n"/>
      <c r="M380" s="28" t="n"/>
      <c r="N380" s="28" t="n"/>
    </row>
    <row r="381">
      <c r="J381" s="480" t="n"/>
      <c r="K381" s="28" t="n"/>
      <c r="L381" s="28" t="n"/>
      <c r="M381" s="28" t="n"/>
      <c r="N381" s="28" t="n"/>
    </row>
    <row r="382">
      <c r="J382" s="480" t="n"/>
      <c r="K382" s="28" t="n"/>
      <c r="L382" s="28" t="n"/>
      <c r="M382" s="28" t="n"/>
      <c r="N382" s="28" t="n"/>
    </row>
    <row r="383">
      <c r="J383" s="480" t="n"/>
      <c r="K383" s="28" t="n"/>
      <c r="L383" s="28" t="n"/>
      <c r="M383" s="28" t="n"/>
      <c r="N383" s="28" t="n"/>
    </row>
    <row r="384">
      <c r="J384" s="480" t="n"/>
      <c r="K384" s="28" t="n"/>
      <c r="L384" s="28" t="n"/>
      <c r="M384" s="28" t="n"/>
      <c r="N384" s="28" t="n"/>
    </row>
    <row r="385">
      <c r="J385" s="480" t="n"/>
      <c r="K385" s="28" t="n"/>
      <c r="L385" s="28" t="n"/>
      <c r="M385" s="28" t="n"/>
      <c r="N385" s="28" t="n"/>
    </row>
    <row r="386">
      <c r="J386" s="480" t="n"/>
      <c r="K386" s="28" t="n"/>
      <c r="L386" s="28" t="n"/>
      <c r="M386" s="28" t="n"/>
      <c r="N386" s="28" t="n"/>
    </row>
    <row r="387">
      <c r="J387" s="480" t="n"/>
      <c r="K387" s="28" t="n"/>
      <c r="L387" s="28" t="n"/>
      <c r="M387" s="28" t="n"/>
      <c r="N387" s="28" t="n"/>
    </row>
    <row r="388">
      <c r="J388" s="480" t="n"/>
      <c r="K388" s="28" t="n"/>
      <c r="L388" s="28" t="n"/>
      <c r="M388" s="28" t="n"/>
      <c r="N388" s="28" t="n"/>
    </row>
    <row r="389">
      <c r="J389" s="480" t="n"/>
      <c r="K389" s="28" t="n"/>
      <c r="L389" s="28" t="n"/>
      <c r="M389" s="28" t="n"/>
      <c r="N389" s="28" t="n"/>
    </row>
    <row r="390">
      <c r="J390" s="480" t="n"/>
      <c r="K390" s="28" t="n"/>
      <c r="L390" s="28" t="n"/>
      <c r="M390" s="28" t="n"/>
      <c r="N390" s="28" t="n"/>
    </row>
    <row r="391">
      <c r="J391" s="480" t="n"/>
      <c r="K391" s="28" t="n"/>
      <c r="L391" s="28" t="n"/>
      <c r="M391" s="28" t="n"/>
      <c r="N391" s="28" t="n"/>
    </row>
    <row r="392">
      <c r="J392" s="480" t="n"/>
      <c r="K392" s="28" t="n"/>
      <c r="L392" s="28" t="n"/>
      <c r="M392" s="28" t="n"/>
      <c r="N392" s="28" t="n"/>
    </row>
    <row r="393">
      <c r="J393" s="480" t="n"/>
      <c r="K393" s="28" t="n"/>
      <c r="L393" s="28" t="n"/>
      <c r="M393" s="28" t="n"/>
      <c r="N393" s="28" t="n"/>
    </row>
    <row r="394">
      <c r="J394" s="480" t="n"/>
      <c r="K394" s="28" t="n"/>
      <c r="L394" s="28" t="n"/>
      <c r="M394" s="28" t="n"/>
      <c r="N394" s="28" t="n"/>
    </row>
    <row r="395">
      <c r="J395" s="480" t="n"/>
      <c r="K395" s="28" t="n"/>
      <c r="L395" s="28" t="n"/>
      <c r="M395" s="28" t="n"/>
      <c r="N395" s="28" t="n"/>
    </row>
    <row r="396">
      <c r="J396" s="480" t="n"/>
      <c r="K396" s="28" t="n"/>
      <c r="L396" s="28" t="n"/>
      <c r="M396" s="28" t="n"/>
      <c r="N396" s="28" t="n"/>
    </row>
    <row r="397">
      <c r="J397" s="480" t="n"/>
      <c r="K397" s="28" t="n"/>
      <c r="L397" s="28" t="n"/>
      <c r="M397" s="28" t="n"/>
      <c r="N397" s="28" t="n"/>
    </row>
    <row r="398">
      <c r="J398" s="480" t="n"/>
      <c r="K398" s="28" t="n"/>
      <c r="L398" s="28" t="n"/>
      <c r="M398" s="28" t="n"/>
      <c r="N398" s="28" t="n"/>
    </row>
    <row r="399">
      <c r="J399" s="480" t="n"/>
      <c r="K399" s="28" t="n"/>
      <c r="L399" s="28" t="n"/>
      <c r="M399" s="28" t="n"/>
      <c r="N399" s="28" t="n"/>
    </row>
    <row r="400">
      <c r="J400" s="480" t="n"/>
      <c r="K400" s="28" t="n"/>
      <c r="L400" s="28" t="n"/>
      <c r="M400" s="28" t="n"/>
      <c r="N400" s="28" t="n"/>
    </row>
    <row r="401">
      <c r="J401" s="480" t="n"/>
      <c r="K401" s="28" t="n"/>
      <c r="L401" s="28" t="n"/>
      <c r="M401" s="28" t="n"/>
      <c r="N401" s="28" t="n"/>
    </row>
    <row r="402">
      <c r="J402" s="480" t="n"/>
      <c r="K402" s="28" t="n"/>
      <c r="L402" s="28" t="n"/>
      <c r="M402" s="28" t="n"/>
      <c r="N402" s="28" t="n"/>
    </row>
    <row r="403">
      <c r="J403" s="480" t="n"/>
      <c r="K403" s="28" t="n"/>
      <c r="L403" s="28" t="n"/>
      <c r="M403" s="28" t="n"/>
      <c r="N403" s="28" t="n"/>
    </row>
    <row r="404">
      <c r="J404" s="480" t="n"/>
      <c r="K404" s="28" t="n"/>
      <c r="L404" s="28" t="n"/>
      <c r="M404" s="28" t="n"/>
      <c r="N404" s="28" t="n"/>
    </row>
    <row r="405">
      <c r="J405" s="480" t="n"/>
      <c r="K405" s="28" t="n"/>
      <c r="L405" s="28" t="n"/>
      <c r="M405" s="28" t="n"/>
      <c r="N405" s="28" t="n"/>
    </row>
    <row r="406">
      <c r="J406" s="480" t="n"/>
      <c r="K406" s="28" t="n"/>
      <c r="L406" s="28" t="n"/>
      <c r="M406" s="28" t="n"/>
      <c r="N406" s="28" t="n"/>
    </row>
    <row r="407">
      <c r="J407" s="480" t="n"/>
      <c r="K407" s="28" t="n"/>
      <c r="L407" s="28" t="n"/>
      <c r="M407" s="28" t="n"/>
      <c r="N407" s="28" t="n"/>
    </row>
    <row r="408">
      <c r="J408" s="480" t="n"/>
      <c r="K408" s="28" t="n"/>
      <c r="L408" s="28" t="n"/>
      <c r="M408" s="28" t="n"/>
      <c r="N408" s="28" t="n"/>
    </row>
    <row r="409">
      <c r="J409" s="480" t="n"/>
      <c r="K409" s="28" t="n"/>
      <c r="L409" s="28" t="n"/>
      <c r="M409" s="28" t="n"/>
      <c r="N409" s="28" t="n"/>
    </row>
    <row r="410">
      <c r="J410" s="480" t="n"/>
      <c r="K410" s="28" t="n"/>
      <c r="L410" s="28" t="n"/>
      <c r="M410" s="28" t="n"/>
      <c r="N410" s="28" t="n"/>
    </row>
    <row r="411">
      <c r="J411" s="480" t="n"/>
      <c r="K411" s="28" t="n"/>
      <c r="L411" s="28" t="n"/>
      <c r="M411" s="28" t="n"/>
      <c r="N411" s="28" t="n"/>
    </row>
    <row r="412">
      <c r="J412" s="480" t="n"/>
      <c r="K412" s="28" t="n"/>
      <c r="L412" s="28" t="n"/>
      <c r="M412" s="28" t="n"/>
      <c r="N412" s="28" t="n"/>
    </row>
    <row r="413">
      <c r="J413" s="480" t="n"/>
      <c r="K413" s="28" t="n"/>
      <c r="L413" s="28" t="n"/>
      <c r="M413" s="28" t="n"/>
      <c r="N413" s="28" t="n"/>
    </row>
    <row r="414">
      <c r="J414" s="480" t="n"/>
      <c r="K414" s="28" t="n"/>
      <c r="L414" s="28" t="n"/>
      <c r="M414" s="28" t="n"/>
      <c r="N414" s="28" t="n"/>
    </row>
    <row r="415">
      <c r="J415" s="480" t="n"/>
      <c r="K415" s="28" t="n"/>
      <c r="L415" s="28" t="n"/>
      <c r="M415" s="28" t="n"/>
      <c r="N415" s="28" t="n"/>
    </row>
    <row r="416">
      <c r="J416" s="480" t="n"/>
      <c r="K416" s="28" t="n"/>
      <c r="L416" s="28" t="n"/>
      <c r="M416" s="28" t="n"/>
      <c r="N416" s="28" t="n"/>
    </row>
    <row r="417">
      <c r="J417" s="480" t="n"/>
      <c r="K417" s="28" t="n"/>
      <c r="L417" s="28" t="n"/>
      <c r="M417" s="28" t="n"/>
      <c r="N417" s="28" t="n"/>
    </row>
    <row r="418">
      <c r="J418" s="480" t="n"/>
      <c r="K418" s="28" t="n"/>
      <c r="L418" s="28" t="n"/>
      <c r="M418" s="28" t="n"/>
      <c r="N418" s="28" t="n"/>
    </row>
    <row r="419">
      <c r="J419" s="480" t="n"/>
      <c r="K419" s="28" t="n"/>
      <c r="L419" s="28" t="n"/>
      <c r="M419" s="28" t="n"/>
      <c r="N419" s="28" t="n"/>
    </row>
    <row r="420">
      <c r="J420" s="480" t="n"/>
      <c r="K420" s="28" t="n"/>
      <c r="L420" s="28" t="n"/>
      <c r="M420" s="28" t="n"/>
      <c r="N420" s="28" t="n"/>
    </row>
    <row r="421">
      <c r="J421" s="480" t="n"/>
      <c r="K421" s="28" t="n"/>
      <c r="L421" s="28" t="n"/>
      <c r="M421" s="28" t="n"/>
      <c r="N421" s="28" t="n"/>
    </row>
    <row r="422">
      <c r="J422" s="480" t="n"/>
      <c r="K422" s="28" t="n"/>
      <c r="L422" s="28" t="n"/>
      <c r="M422" s="28" t="n"/>
      <c r="N422" s="28" t="n"/>
    </row>
    <row r="423">
      <c r="J423" s="480" t="n"/>
      <c r="K423" s="28" t="n"/>
      <c r="L423" s="28" t="n"/>
      <c r="M423" s="28" t="n"/>
      <c r="N423" s="28" t="n"/>
    </row>
    <row r="424">
      <c r="J424" s="480" t="n"/>
      <c r="K424" s="28" t="n"/>
      <c r="L424" s="28" t="n"/>
      <c r="M424" s="28" t="n"/>
      <c r="N424" s="28" t="n"/>
    </row>
    <row r="425">
      <c r="J425" s="480" t="n"/>
      <c r="K425" s="28" t="n"/>
      <c r="L425" s="28" t="n"/>
      <c r="M425" s="28" t="n"/>
      <c r="N425" s="28" t="n"/>
    </row>
    <row r="426">
      <c r="J426" s="480" t="n"/>
      <c r="K426" s="28" t="n"/>
      <c r="L426" s="28" t="n"/>
      <c r="M426" s="28" t="n"/>
      <c r="N426" s="28" t="n"/>
    </row>
    <row r="427">
      <c r="J427" s="480" t="n"/>
      <c r="K427" s="28" t="n"/>
      <c r="L427" s="28" t="n"/>
      <c r="M427" s="28" t="n"/>
      <c r="N427" s="28" t="n"/>
    </row>
    <row r="428">
      <c r="J428" s="480" t="n"/>
      <c r="K428" s="28" t="n"/>
      <c r="L428" s="28" t="n"/>
      <c r="M428" s="28" t="n"/>
      <c r="N428" s="28" t="n"/>
    </row>
    <row r="429">
      <c r="J429" s="480" t="n"/>
      <c r="K429" s="28" t="n"/>
      <c r="L429" s="28" t="n"/>
      <c r="M429" s="28" t="n"/>
      <c r="N429" s="28" t="n"/>
    </row>
    <row r="430">
      <c r="J430" s="480" t="n"/>
      <c r="K430" s="28" t="n"/>
      <c r="L430" s="28" t="n"/>
      <c r="M430" s="28" t="n"/>
      <c r="N430" s="28" t="n"/>
    </row>
    <row r="431">
      <c r="J431" s="480" t="n"/>
      <c r="K431" s="28" t="n"/>
      <c r="L431" s="28" t="n"/>
      <c r="M431" s="28" t="n"/>
      <c r="N431" s="28" t="n"/>
    </row>
    <row r="432">
      <c r="J432" s="480" t="n"/>
      <c r="K432" s="28" t="n"/>
      <c r="L432" s="28" t="n"/>
      <c r="M432" s="28" t="n"/>
      <c r="N432" s="28" t="n"/>
    </row>
    <row r="433">
      <c r="J433" s="480" t="n"/>
      <c r="K433" s="28" t="n"/>
      <c r="L433" s="28" t="n"/>
      <c r="M433" s="28" t="n"/>
      <c r="N433" s="28" t="n"/>
    </row>
    <row r="434">
      <c r="J434" s="480" t="n"/>
      <c r="K434" s="28" t="n"/>
      <c r="L434" s="28" t="n"/>
      <c r="M434" s="28" t="n"/>
      <c r="N434" s="28" t="n"/>
    </row>
    <row r="435">
      <c r="J435" s="480" t="n"/>
      <c r="K435" s="28" t="n"/>
      <c r="L435" s="28" t="n"/>
      <c r="M435" s="28" t="n"/>
      <c r="N435" s="28" t="n"/>
    </row>
    <row r="436">
      <c r="J436" s="480" t="n"/>
      <c r="K436" s="28" t="n"/>
      <c r="L436" s="28" t="n"/>
      <c r="M436" s="28" t="n"/>
      <c r="N436" s="28" t="n"/>
    </row>
    <row r="437">
      <c r="J437" s="480" t="n"/>
      <c r="K437" s="28" t="n"/>
      <c r="L437" s="28" t="n"/>
      <c r="M437" s="28" t="n"/>
      <c r="N437" s="28" t="n"/>
    </row>
    <row r="438">
      <c r="J438" s="480" t="n"/>
      <c r="K438" s="28" t="n"/>
      <c r="L438" s="28" t="n"/>
      <c r="M438" s="28" t="n"/>
      <c r="N438" s="28" t="n"/>
    </row>
    <row r="439">
      <c r="J439" s="480" t="n"/>
      <c r="K439" s="28" t="n"/>
      <c r="L439" s="28" t="n"/>
      <c r="M439" s="28" t="n"/>
      <c r="N439" s="28" t="n"/>
    </row>
    <row r="440">
      <c r="J440" s="480" t="n"/>
      <c r="K440" s="28" t="n"/>
      <c r="L440" s="28" t="n"/>
      <c r="M440" s="28" t="n"/>
      <c r="N440" s="28" t="n"/>
    </row>
    <row r="441">
      <c r="J441" s="480" t="n"/>
      <c r="K441" s="28" t="n"/>
      <c r="L441" s="28" t="n"/>
      <c r="M441" s="28" t="n"/>
      <c r="N441" s="28" t="n"/>
    </row>
    <row r="442">
      <c r="J442" s="480" t="n"/>
      <c r="K442" s="28" t="n"/>
      <c r="L442" s="28" t="n"/>
      <c r="M442" s="28" t="n"/>
      <c r="N442" s="28" t="n"/>
    </row>
    <row r="443">
      <c r="J443" s="480" t="n"/>
      <c r="K443" s="28" t="n"/>
      <c r="L443" s="28" t="n"/>
      <c r="M443" s="28" t="n"/>
      <c r="N443" s="28" t="n"/>
    </row>
    <row r="444">
      <c r="J444" s="480" t="n"/>
      <c r="K444" s="28" t="n"/>
      <c r="L444" s="28" t="n"/>
      <c r="M444" s="28" t="n"/>
      <c r="N444" s="28" t="n"/>
    </row>
    <row r="445">
      <c r="J445" s="480" t="n"/>
      <c r="K445" s="28" t="n"/>
      <c r="L445" s="28" t="n"/>
      <c r="M445" s="28" t="n"/>
      <c r="N445" s="28" t="n"/>
    </row>
    <row r="446">
      <c r="J446" s="480" t="n"/>
      <c r="K446" s="28" t="n"/>
      <c r="L446" s="28" t="n"/>
      <c r="M446" s="28" t="n"/>
      <c r="N446" s="28" t="n"/>
    </row>
    <row r="447">
      <c r="J447" s="480" t="n"/>
      <c r="K447" s="28" t="n"/>
      <c r="L447" s="28" t="n"/>
      <c r="M447" s="28" t="n"/>
      <c r="N447" s="28" t="n"/>
    </row>
    <row r="448">
      <c r="J448" s="480" t="n"/>
      <c r="K448" s="28" t="n"/>
      <c r="L448" s="28" t="n"/>
      <c r="M448" s="28" t="n"/>
      <c r="N448" s="28" t="n"/>
    </row>
    <row r="449">
      <c r="J449" s="480" t="n"/>
      <c r="K449" s="28" t="n"/>
      <c r="L449" s="28" t="n"/>
      <c r="M449" s="28" t="n"/>
      <c r="N449" s="28" t="n"/>
    </row>
    <row r="450">
      <c r="J450" s="480" t="n"/>
      <c r="K450" s="28" t="n"/>
      <c r="L450" s="28" t="n"/>
      <c r="M450" s="28" t="n"/>
      <c r="N450" s="28" t="n"/>
    </row>
    <row r="451">
      <c r="J451" s="480" t="n"/>
      <c r="K451" s="28" t="n"/>
      <c r="L451" s="28" t="n"/>
      <c r="M451" s="28" t="n"/>
      <c r="N451" s="28" t="n"/>
    </row>
    <row r="452">
      <c r="J452" s="480" t="n"/>
      <c r="K452" s="28" t="n"/>
      <c r="L452" s="28" t="n"/>
      <c r="M452" s="28" t="n"/>
      <c r="N452" s="28" t="n"/>
    </row>
    <row r="453">
      <c r="J453" s="480" t="n"/>
      <c r="K453" s="28" t="n"/>
      <c r="L453" s="28" t="n"/>
      <c r="M453" s="28" t="n"/>
      <c r="N453" s="28" t="n"/>
    </row>
    <row r="454">
      <c r="J454" s="480" t="n"/>
      <c r="K454" s="28" t="n"/>
      <c r="L454" s="28" t="n"/>
      <c r="M454" s="28" t="n"/>
      <c r="N454" s="28" t="n"/>
    </row>
    <row r="455">
      <c r="J455" s="480" t="n"/>
      <c r="K455" s="28" t="n"/>
      <c r="L455" s="28" t="n"/>
      <c r="M455" s="28" t="n"/>
      <c r="N455" s="28" t="n"/>
    </row>
    <row r="456">
      <c r="J456" s="480" t="n"/>
      <c r="K456" s="28" t="n"/>
      <c r="L456" s="28" t="n"/>
      <c r="M456" s="28" t="n"/>
      <c r="N456" s="28" t="n"/>
    </row>
    <row r="457">
      <c r="J457" s="480" t="n"/>
      <c r="K457" s="28" t="n"/>
      <c r="L457" s="28" t="n"/>
      <c r="M457" s="28" t="n"/>
      <c r="N457" s="28" t="n"/>
    </row>
    <row r="458">
      <c r="J458" s="480" t="n"/>
      <c r="K458" s="28" t="n"/>
      <c r="L458" s="28" t="n"/>
      <c r="M458" s="28" t="n"/>
      <c r="N458" s="28" t="n"/>
    </row>
    <row r="459">
      <c r="J459" s="480" t="n"/>
      <c r="K459" s="28" t="n"/>
      <c r="L459" s="28" t="n"/>
      <c r="M459" s="28" t="n"/>
      <c r="N459" s="28" t="n"/>
    </row>
    <row r="460">
      <c r="J460" s="480" t="n"/>
      <c r="K460" s="28" t="n"/>
      <c r="L460" s="28" t="n"/>
      <c r="M460" s="28" t="n"/>
      <c r="N460" s="28" t="n"/>
    </row>
    <row r="461">
      <c r="J461" s="480" t="n"/>
      <c r="K461" s="28" t="n"/>
      <c r="L461" s="28" t="n"/>
      <c r="M461" s="28" t="n"/>
      <c r="N461" s="28" t="n"/>
    </row>
    <row r="462">
      <c r="J462" s="480" t="n"/>
      <c r="K462" s="28" t="n"/>
      <c r="L462" s="28" t="n"/>
      <c r="M462" s="28" t="n"/>
      <c r="N462" s="28" t="n"/>
    </row>
    <row r="463">
      <c r="J463" s="480" t="n"/>
      <c r="K463" s="28" t="n"/>
      <c r="L463" s="28" t="n"/>
      <c r="M463" s="28" t="n"/>
      <c r="N463" s="28" t="n"/>
    </row>
    <row r="464">
      <c r="J464" s="480" t="n"/>
      <c r="K464" s="28" t="n"/>
      <c r="L464" s="28" t="n"/>
      <c r="M464" s="28" t="n"/>
      <c r="N464" s="28" t="n"/>
    </row>
    <row r="465">
      <c r="J465" s="480" t="n"/>
      <c r="K465" s="28" t="n"/>
      <c r="L465" s="28" t="n"/>
      <c r="M465" s="28" t="n"/>
      <c r="N465" s="28" t="n"/>
    </row>
    <row r="466">
      <c r="J466" s="480" t="n"/>
      <c r="K466" s="28" t="n"/>
      <c r="L466" s="28" t="n"/>
      <c r="M466" s="28" t="n"/>
      <c r="N466" s="28" t="n"/>
    </row>
    <row r="467">
      <c r="J467" s="480" t="n"/>
      <c r="K467" s="28" t="n"/>
      <c r="L467" s="28" t="n"/>
      <c r="M467" s="28" t="n"/>
      <c r="N467" s="28" t="n"/>
    </row>
    <row r="468">
      <c r="J468" s="480" t="n"/>
      <c r="K468" s="28" t="n"/>
      <c r="L468" s="28" t="n"/>
      <c r="M468" s="28" t="n"/>
      <c r="N468" s="28" t="n"/>
    </row>
    <row r="469">
      <c r="J469" s="480" t="n"/>
      <c r="K469" s="28" t="n"/>
      <c r="L469" s="28" t="n"/>
      <c r="M469" s="28" t="n"/>
      <c r="N469" s="28" t="n"/>
    </row>
    <row r="470">
      <c r="J470" s="480" t="n"/>
      <c r="K470" s="28" t="n"/>
      <c r="L470" s="28" t="n"/>
      <c r="M470" s="28" t="n"/>
      <c r="N470" s="28" t="n"/>
    </row>
    <row r="471">
      <c r="J471" s="480" t="n"/>
      <c r="K471" s="28" t="n"/>
      <c r="L471" s="28" t="n"/>
      <c r="M471" s="28" t="n"/>
      <c r="N471" s="28" t="n"/>
    </row>
    <row r="472">
      <c r="J472" s="480" t="n"/>
      <c r="K472" s="28" t="n"/>
      <c r="L472" s="28" t="n"/>
      <c r="M472" s="28" t="n"/>
      <c r="N472" s="28" t="n"/>
    </row>
    <row r="473">
      <c r="J473" s="480" t="n"/>
      <c r="K473" s="28" t="n"/>
      <c r="L473" s="28" t="n"/>
      <c r="M473" s="28" t="n"/>
      <c r="N473" s="28" t="n"/>
    </row>
    <row r="474">
      <c r="J474" s="480" t="n"/>
      <c r="K474" s="28" t="n"/>
      <c r="L474" s="28" t="n"/>
      <c r="M474" s="28" t="n"/>
      <c r="N474" s="28" t="n"/>
    </row>
    <row r="475">
      <c r="J475" s="480" t="n"/>
      <c r="K475" s="28" t="n"/>
      <c r="L475" s="28" t="n"/>
      <c r="M475" s="28" t="n"/>
      <c r="N475" s="28" t="n"/>
    </row>
    <row r="476">
      <c r="J476" s="480" t="n"/>
      <c r="K476" s="28" t="n"/>
      <c r="L476" s="28" t="n"/>
      <c r="M476" s="28" t="n"/>
      <c r="N476" s="28" t="n"/>
    </row>
    <row r="477">
      <c r="J477" s="480" t="n"/>
      <c r="K477" s="28" t="n"/>
      <c r="L477" s="28" t="n"/>
      <c r="M477" s="28" t="n"/>
      <c r="N477" s="28" t="n"/>
    </row>
    <row r="478">
      <c r="J478" s="480" t="n"/>
      <c r="K478" s="28" t="n"/>
      <c r="L478" s="28" t="n"/>
      <c r="M478" s="28" t="n"/>
      <c r="N478" s="28" t="n"/>
    </row>
    <row r="479">
      <c r="J479" s="480" t="n"/>
      <c r="K479" s="28" t="n"/>
      <c r="L479" s="28" t="n"/>
      <c r="M479" s="28" t="n"/>
      <c r="N479" s="28" t="n"/>
    </row>
    <row r="480">
      <c r="J480" s="480" t="n"/>
      <c r="K480" s="28" t="n"/>
      <c r="L480" s="28" t="n"/>
      <c r="M480" s="28" t="n"/>
      <c r="N480" s="28" t="n"/>
    </row>
    <row r="481">
      <c r="J481" s="480" t="n"/>
      <c r="K481" s="28" t="n"/>
      <c r="L481" s="28" t="n"/>
      <c r="M481" s="28" t="n"/>
      <c r="N481" s="28" t="n"/>
    </row>
    <row r="482">
      <c r="J482" s="480" t="n"/>
      <c r="K482" s="28" t="n"/>
      <c r="L482" s="28" t="n"/>
      <c r="M482" s="28" t="n"/>
      <c r="N482" s="28" t="n"/>
    </row>
    <row r="483">
      <c r="J483" s="480" t="n"/>
      <c r="K483" s="28" t="n"/>
      <c r="L483" s="28" t="n"/>
      <c r="M483" s="28" t="n"/>
      <c r="N483" s="28" t="n"/>
    </row>
    <row r="484">
      <c r="J484" s="480" t="n"/>
      <c r="K484" s="28" t="n"/>
      <c r="L484" s="28" t="n"/>
      <c r="M484" s="28" t="n"/>
      <c r="N484" s="28" t="n"/>
    </row>
    <row r="485">
      <c r="J485" s="480" t="n"/>
      <c r="K485" s="28" t="n"/>
      <c r="L485" s="28" t="n"/>
      <c r="M485" s="28" t="n"/>
      <c r="N485" s="28" t="n"/>
    </row>
    <row r="486">
      <c r="J486" s="480" t="n"/>
      <c r="K486" s="28" t="n"/>
      <c r="L486" s="28" t="n"/>
      <c r="M486" s="28" t="n"/>
      <c r="N486" s="28" t="n"/>
    </row>
    <row r="487">
      <c r="J487" s="480" t="n"/>
      <c r="K487" s="28" t="n"/>
      <c r="L487" s="28" t="n"/>
      <c r="M487" s="28" t="n"/>
      <c r="N487" s="28" t="n"/>
    </row>
    <row r="488">
      <c r="J488" s="480" t="n"/>
      <c r="K488" s="28" t="n"/>
      <c r="L488" s="28" t="n"/>
      <c r="M488" s="28" t="n"/>
      <c r="N488" s="28" t="n"/>
    </row>
    <row r="489">
      <c r="J489" s="480" t="n"/>
      <c r="K489" s="28" t="n"/>
      <c r="L489" s="28" t="n"/>
      <c r="M489" s="28" t="n"/>
      <c r="N489" s="28" t="n"/>
    </row>
    <row r="490">
      <c r="J490" s="480" t="n"/>
      <c r="K490" s="28" t="n"/>
      <c r="L490" s="28" t="n"/>
      <c r="M490" s="28" t="n"/>
      <c r="N490" s="28" t="n"/>
    </row>
    <row r="491">
      <c r="J491" s="480" t="n"/>
      <c r="K491" s="28" t="n"/>
      <c r="L491" s="28" t="n"/>
      <c r="M491" s="28" t="n"/>
      <c r="N491" s="28" t="n"/>
    </row>
    <row r="492">
      <c r="J492" s="480" t="n"/>
      <c r="K492" s="28" t="n"/>
      <c r="L492" s="28" t="n"/>
      <c r="M492" s="28" t="n"/>
      <c r="N492" s="28" t="n"/>
    </row>
    <row r="493">
      <c r="J493" s="480" t="n"/>
      <c r="K493" s="28" t="n"/>
      <c r="L493" s="28" t="n"/>
      <c r="M493" s="28" t="n"/>
      <c r="N493" s="28" t="n"/>
    </row>
    <row r="494">
      <c r="J494" s="480" t="n"/>
      <c r="K494" s="28" t="n"/>
      <c r="L494" s="28" t="n"/>
      <c r="M494" s="28" t="n"/>
      <c r="N494" s="28" t="n"/>
    </row>
    <row r="495">
      <c r="J495" s="480" t="n"/>
      <c r="K495" s="28" t="n"/>
      <c r="L495" s="28" t="n"/>
      <c r="M495" s="28" t="n"/>
      <c r="N495" s="28" t="n"/>
    </row>
    <row r="496">
      <c r="J496" s="480" t="n"/>
      <c r="K496" s="28" t="n"/>
      <c r="L496" s="28" t="n"/>
      <c r="M496" s="28" t="n"/>
      <c r="N496" s="28" t="n"/>
    </row>
    <row r="497">
      <c r="J497" s="480" t="n"/>
      <c r="K497" s="28" t="n"/>
      <c r="L497" s="28" t="n"/>
      <c r="M497" s="28" t="n"/>
      <c r="N497" s="28" t="n"/>
    </row>
    <row r="498">
      <c r="J498" s="480" t="n"/>
      <c r="K498" s="28" t="n"/>
      <c r="L498" s="28" t="n"/>
      <c r="M498" s="28" t="n"/>
      <c r="N498" s="28" t="n"/>
    </row>
    <row r="499">
      <c r="J499" s="480" t="n"/>
      <c r="K499" s="28" t="n"/>
      <c r="L499" s="28" t="n"/>
      <c r="M499" s="28" t="n"/>
      <c r="N499" s="28" t="n"/>
    </row>
    <row r="500">
      <c r="J500" s="480" t="n"/>
      <c r="K500" s="28" t="n"/>
      <c r="L500" s="28" t="n"/>
      <c r="M500" s="28" t="n"/>
      <c r="N500" s="28" t="n"/>
    </row>
    <row r="501">
      <c r="J501" s="480" t="n"/>
      <c r="K501" s="28" t="n"/>
      <c r="L501" s="28" t="n"/>
      <c r="M501" s="28" t="n"/>
      <c r="N501" s="28" t="n"/>
    </row>
    <row r="502">
      <c r="J502" s="480" t="n"/>
      <c r="K502" s="28" t="n"/>
      <c r="L502" s="28" t="n"/>
      <c r="M502" s="28" t="n"/>
      <c r="N502" s="28" t="n"/>
    </row>
    <row r="503">
      <c r="J503" s="480" t="n"/>
      <c r="K503" s="28" t="n"/>
      <c r="L503" s="28" t="n"/>
      <c r="M503" s="28" t="n"/>
      <c r="N503" s="28" t="n"/>
    </row>
    <row r="504">
      <c r="J504" s="480" t="n"/>
      <c r="K504" s="28" t="n"/>
      <c r="L504" s="28" t="n"/>
      <c r="M504" s="28" t="n"/>
      <c r="N504" s="28" t="n"/>
    </row>
    <row r="505">
      <c r="J505" s="480" t="n"/>
      <c r="K505" s="28" t="n"/>
      <c r="L505" s="28" t="n"/>
      <c r="M505" s="28" t="n"/>
      <c r="N505" s="28" t="n"/>
    </row>
    <row r="506">
      <c r="J506" s="480" t="n"/>
      <c r="K506" s="28" t="n"/>
      <c r="L506" s="28" t="n"/>
      <c r="M506" s="28" t="n"/>
      <c r="N506" s="28" t="n"/>
    </row>
    <row r="507">
      <c r="J507" s="480" t="n"/>
      <c r="K507" s="28" t="n"/>
      <c r="L507" s="28" t="n"/>
      <c r="M507" s="28" t="n"/>
      <c r="N507" s="28" t="n"/>
    </row>
    <row r="508">
      <c r="J508" s="480" t="n"/>
      <c r="K508" s="28" t="n"/>
      <c r="L508" s="28" t="n"/>
      <c r="M508" s="28" t="n"/>
      <c r="N508" s="28" t="n"/>
    </row>
    <row r="509">
      <c r="J509" s="480" t="n"/>
      <c r="K509" s="28" t="n"/>
      <c r="L509" s="28" t="n"/>
      <c r="M509" s="28" t="n"/>
      <c r="N509" s="28" t="n"/>
    </row>
    <row r="510">
      <c r="J510" s="480" t="n"/>
      <c r="K510" s="28" t="n"/>
      <c r="L510" s="28" t="n"/>
      <c r="M510" s="28" t="n"/>
      <c r="N510" s="28" t="n"/>
    </row>
    <row r="511">
      <c r="J511" s="480" t="n"/>
      <c r="K511" s="28" t="n"/>
      <c r="L511" s="28" t="n"/>
      <c r="M511" s="28" t="n"/>
      <c r="N511" s="28" t="n"/>
    </row>
    <row r="512">
      <c r="J512" s="480" t="n"/>
      <c r="K512" s="28" t="n"/>
      <c r="L512" s="28" t="n"/>
      <c r="M512" s="28" t="n"/>
      <c r="N512" s="28" t="n"/>
    </row>
    <row r="513">
      <c r="J513" s="480" t="n"/>
      <c r="K513" s="28" t="n"/>
      <c r="L513" s="28" t="n"/>
      <c r="M513" s="28" t="n"/>
      <c r="N513" s="28" t="n"/>
    </row>
    <row r="514">
      <c r="J514" s="480" t="n"/>
      <c r="K514" s="28" t="n"/>
      <c r="L514" s="28" t="n"/>
      <c r="M514" s="28" t="n"/>
      <c r="N514" s="28" t="n"/>
    </row>
    <row r="515">
      <c r="J515" s="480" t="n"/>
      <c r="K515" s="28" t="n"/>
      <c r="L515" s="28" t="n"/>
      <c r="M515" s="28" t="n"/>
      <c r="N515" s="28" t="n"/>
    </row>
    <row r="516">
      <c r="J516" s="480" t="n"/>
      <c r="K516" s="28" t="n"/>
      <c r="L516" s="28" t="n"/>
      <c r="M516" s="28" t="n"/>
      <c r="N516" s="28" t="n"/>
    </row>
    <row r="517">
      <c r="J517" s="480" t="n"/>
      <c r="K517" s="28" t="n"/>
      <c r="L517" s="28" t="n"/>
      <c r="M517" s="28" t="n"/>
      <c r="N517" s="28" t="n"/>
    </row>
    <row r="518">
      <c r="J518" s="480" t="n"/>
      <c r="K518" s="28" t="n"/>
      <c r="L518" s="28" t="n"/>
      <c r="M518" s="28" t="n"/>
      <c r="N518" s="28" t="n"/>
    </row>
    <row r="519">
      <c r="J519" s="480" t="n"/>
      <c r="K519" s="28" t="n"/>
      <c r="L519" s="28" t="n"/>
      <c r="M519" s="28" t="n"/>
      <c r="N519" s="28" t="n"/>
    </row>
    <row r="520">
      <c r="J520" s="480" t="n"/>
      <c r="K520" s="28" t="n"/>
      <c r="L520" s="28" t="n"/>
      <c r="M520" s="28" t="n"/>
      <c r="N520" s="28" t="n"/>
    </row>
    <row r="521">
      <c r="J521" s="480" t="n"/>
      <c r="K521" s="28" t="n"/>
      <c r="L521" s="28" t="n"/>
      <c r="M521" s="28" t="n"/>
      <c r="N521" s="28" t="n"/>
    </row>
    <row r="522">
      <c r="J522" s="480" t="n"/>
      <c r="K522" s="28" t="n"/>
      <c r="L522" s="28" t="n"/>
      <c r="M522" s="28" t="n"/>
      <c r="N522" s="28" t="n"/>
    </row>
    <row r="523">
      <c r="J523" s="480" t="n"/>
      <c r="K523" s="28" t="n"/>
      <c r="L523" s="28" t="n"/>
      <c r="M523" s="28" t="n"/>
      <c r="N523" s="28" t="n"/>
    </row>
    <row r="524">
      <c r="J524" s="480" t="n"/>
      <c r="K524" s="28" t="n"/>
      <c r="L524" s="28" t="n"/>
      <c r="M524" s="28" t="n"/>
      <c r="N524" s="28" t="n"/>
    </row>
    <row r="525">
      <c r="J525" s="480" t="n"/>
      <c r="K525" s="28" t="n"/>
      <c r="L525" s="28" t="n"/>
      <c r="M525" s="28" t="n"/>
      <c r="N525" s="28" t="n"/>
    </row>
    <row r="526">
      <c r="J526" s="480" t="n"/>
      <c r="K526" s="28" t="n"/>
      <c r="L526" s="28" t="n"/>
      <c r="M526" s="28" t="n"/>
      <c r="N526" s="28" t="n"/>
    </row>
    <row r="527">
      <c r="J527" s="480" t="n"/>
      <c r="K527" s="28" t="n"/>
      <c r="L527" s="28" t="n"/>
      <c r="M527" s="28" t="n"/>
      <c r="N527" s="28" t="n"/>
    </row>
    <row r="528">
      <c r="J528" s="480" t="n"/>
      <c r="K528" s="28" t="n"/>
      <c r="L528" s="28" t="n"/>
      <c r="M528" s="28" t="n"/>
      <c r="N528" s="28" t="n"/>
    </row>
    <row r="529">
      <c r="J529" s="480" t="n"/>
      <c r="K529" s="28" t="n"/>
      <c r="L529" s="28" t="n"/>
      <c r="M529" s="28" t="n"/>
      <c r="N529" s="28" t="n"/>
    </row>
    <row r="530">
      <c r="J530" s="480" t="n"/>
      <c r="K530" s="28" t="n"/>
      <c r="L530" s="28" t="n"/>
      <c r="M530" s="28" t="n"/>
      <c r="N530" s="28" t="n"/>
    </row>
    <row r="531">
      <c r="J531" s="480" t="n"/>
      <c r="K531" s="28" t="n"/>
      <c r="L531" s="28" t="n"/>
      <c r="M531" s="28" t="n"/>
      <c r="N531" s="28" t="n"/>
    </row>
    <row r="532">
      <c r="J532" s="480" t="n"/>
      <c r="K532" s="28" t="n"/>
      <c r="L532" s="28" t="n"/>
      <c r="M532" s="28" t="n"/>
      <c r="N532" s="28" t="n"/>
    </row>
    <row r="533">
      <c r="J533" s="480" t="n"/>
      <c r="K533" s="28" t="n"/>
      <c r="L533" s="28" t="n"/>
      <c r="M533" s="28" t="n"/>
      <c r="N533" s="28" t="n"/>
    </row>
    <row r="534">
      <c r="J534" s="480" t="n"/>
      <c r="K534" s="28" t="n"/>
      <c r="L534" s="28" t="n"/>
      <c r="M534" s="28" t="n"/>
      <c r="N534" s="28" t="n"/>
    </row>
    <row r="535">
      <c r="J535" s="480" t="n"/>
      <c r="K535" s="28" t="n"/>
      <c r="L535" s="28" t="n"/>
      <c r="M535" s="28" t="n"/>
      <c r="N535" s="28" t="n"/>
    </row>
    <row r="536">
      <c r="J536" s="480" t="n"/>
      <c r="K536" s="28" t="n"/>
      <c r="L536" s="28" t="n"/>
      <c r="M536" s="28" t="n"/>
      <c r="N536" s="28" t="n"/>
    </row>
    <row r="537">
      <c r="J537" s="480" t="n"/>
      <c r="K537" s="28" t="n"/>
      <c r="L537" s="28" t="n"/>
      <c r="M537" s="28" t="n"/>
      <c r="N537" s="28" t="n"/>
    </row>
    <row r="538">
      <c r="J538" s="480" t="n"/>
      <c r="K538" s="28" t="n"/>
      <c r="L538" s="28" t="n"/>
      <c r="M538" s="28" t="n"/>
      <c r="N538" s="28" t="n"/>
    </row>
    <row r="539">
      <c r="J539" s="480" t="n"/>
      <c r="K539" s="28" t="n"/>
      <c r="L539" s="28" t="n"/>
      <c r="M539" s="28" t="n"/>
      <c r="N539" s="28" t="n"/>
    </row>
    <row r="540">
      <c r="J540" s="480" t="n"/>
      <c r="K540" s="28" t="n"/>
      <c r="L540" s="28" t="n"/>
      <c r="M540" s="28" t="n"/>
      <c r="N540" s="28" t="n"/>
    </row>
    <row r="541">
      <c r="J541" s="480" t="n"/>
      <c r="K541" s="28" t="n"/>
      <c r="L541" s="28" t="n"/>
      <c r="M541" s="28" t="n"/>
      <c r="N541" s="28" t="n"/>
    </row>
    <row r="542">
      <c r="J542" s="480" t="n"/>
      <c r="K542" s="28" t="n"/>
      <c r="L542" s="28" t="n"/>
      <c r="M542" s="28" t="n"/>
      <c r="N542" s="28" t="n"/>
    </row>
    <row r="543">
      <c r="J543" s="480" t="n"/>
      <c r="K543" s="28" t="n"/>
      <c r="L543" s="28" t="n"/>
      <c r="M543" s="28" t="n"/>
      <c r="N543" s="28" t="n"/>
    </row>
    <row r="544">
      <c r="J544" s="480" t="n"/>
      <c r="K544" s="28" t="n"/>
      <c r="L544" s="28" t="n"/>
      <c r="M544" s="28" t="n"/>
      <c r="N544" s="28" t="n"/>
    </row>
    <row r="545">
      <c r="J545" s="480" t="n"/>
      <c r="K545" s="28" t="n"/>
      <c r="L545" s="28" t="n"/>
      <c r="M545" s="28" t="n"/>
      <c r="N545" s="28" t="n"/>
    </row>
    <row r="546">
      <c r="J546" s="480" t="n"/>
      <c r="K546" s="28" t="n"/>
      <c r="L546" s="28" t="n"/>
      <c r="M546" s="28" t="n"/>
      <c r="N546" s="28" t="n"/>
    </row>
    <row r="547">
      <c r="J547" s="480" t="n"/>
      <c r="K547" s="28" t="n"/>
      <c r="L547" s="28" t="n"/>
      <c r="M547" s="28" t="n"/>
      <c r="N547" s="28" t="n"/>
    </row>
    <row r="548">
      <c r="J548" s="480" t="n"/>
      <c r="K548" s="28" t="n"/>
      <c r="L548" s="28" t="n"/>
      <c r="M548" s="28" t="n"/>
      <c r="N548" s="28" t="n"/>
    </row>
    <row r="549">
      <c r="J549" s="480" t="n"/>
      <c r="K549" s="28" t="n"/>
      <c r="L549" s="28" t="n"/>
      <c r="M549" s="28" t="n"/>
      <c r="N549" s="28" t="n"/>
    </row>
    <row r="550">
      <c r="J550" s="480" t="n"/>
      <c r="K550" s="28" t="n"/>
      <c r="L550" s="28" t="n"/>
      <c r="M550" s="28" t="n"/>
      <c r="N550" s="28" t="n"/>
    </row>
    <row r="551">
      <c r="J551" s="480" t="n"/>
      <c r="K551" s="28" t="n"/>
      <c r="L551" s="28" t="n"/>
      <c r="M551" s="28" t="n"/>
      <c r="N551" s="28" t="n"/>
    </row>
    <row r="552">
      <c r="J552" s="480" t="n"/>
      <c r="K552" s="28" t="n"/>
      <c r="L552" s="28" t="n"/>
      <c r="M552" s="28" t="n"/>
      <c r="N552" s="28" t="n"/>
    </row>
    <row r="553">
      <c r="J553" s="480" t="n"/>
      <c r="K553" s="28" t="n"/>
      <c r="L553" s="28" t="n"/>
      <c r="M553" s="28" t="n"/>
      <c r="N553" s="28" t="n"/>
    </row>
    <row r="554">
      <c r="J554" s="480" t="n"/>
      <c r="K554" s="28" t="n"/>
      <c r="L554" s="28" t="n"/>
      <c r="M554" s="28" t="n"/>
      <c r="N554" s="28" t="n"/>
    </row>
    <row r="555">
      <c r="J555" s="480" t="n"/>
      <c r="K555" s="28" t="n"/>
      <c r="L555" s="28" t="n"/>
      <c r="M555" s="28" t="n"/>
      <c r="N555" s="28" t="n"/>
    </row>
    <row r="556">
      <c r="J556" s="480" t="n"/>
      <c r="K556" s="28" t="n"/>
      <c r="L556" s="28" t="n"/>
      <c r="M556" s="28" t="n"/>
      <c r="N556" s="28" t="n"/>
    </row>
    <row r="557">
      <c r="J557" s="480" t="n"/>
      <c r="K557" s="28" t="n"/>
      <c r="L557" s="28" t="n"/>
      <c r="M557" s="28" t="n"/>
      <c r="N557" s="28" t="n"/>
    </row>
    <row r="558">
      <c r="J558" s="480" t="n"/>
      <c r="K558" s="28" t="n"/>
      <c r="L558" s="28" t="n"/>
      <c r="M558" s="28" t="n"/>
      <c r="N558" s="28" t="n"/>
    </row>
    <row r="559">
      <c r="J559" s="480" t="n"/>
      <c r="K559" s="28" t="n"/>
      <c r="L559" s="28" t="n"/>
      <c r="M559" s="28" t="n"/>
      <c r="N559" s="28" t="n"/>
    </row>
    <row r="560">
      <c r="J560" s="480" t="n"/>
      <c r="K560" s="28" t="n"/>
      <c r="L560" s="28" t="n"/>
      <c r="M560" s="28" t="n"/>
      <c r="N560" s="28" t="n"/>
    </row>
    <row r="561">
      <c r="J561" s="480" t="n"/>
      <c r="K561" s="28" t="n"/>
      <c r="L561" s="28" t="n"/>
      <c r="M561" s="28" t="n"/>
      <c r="N561" s="28" t="n"/>
    </row>
    <row r="562">
      <c r="J562" s="480" t="n"/>
      <c r="K562" s="28" t="n"/>
      <c r="L562" s="28" t="n"/>
      <c r="M562" s="28" t="n"/>
      <c r="N562" s="28" t="n"/>
    </row>
    <row r="563">
      <c r="J563" s="480" t="n"/>
      <c r="K563" s="28" t="n"/>
      <c r="L563" s="28" t="n"/>
      <c r="M563" s="28" t="n"/>
      <c r="N563" s="28" t="n"/>
    </row>
    <row r="564">
      <c r="J564" s="480" t="n"/>
      <c r="K564" s="28" t="n"/>
      <c r="L564" s="28" t="n"/>
      <c r="M564" s="28" t="n"/>
      <c r="N564" s="28" t="n"/>
    </row>
    <row r="565">
      <c r="J565" s="480" t="n"/>
      <c r="K565" s="28" t="n"/>
      <c r="L565" s="28" t="n"/>
      <c r="M565" s="28" t="n"/>
      <c r="N565" s="28" t="n"/>
    </row>
    <row r="566">
      <c r="J566" s="480" t="n"/>
      <c r="K566" s="28" t="n"/>
      <c r="L566" s="28" t="n"/>
      <c r="M566" s="28" t="n"/>
      <c r="N566" s="28" t="n"/>
    </row>
    <row r="567">
      <c r="J567" s="480" t="n"/>
      <c r="K567" s="28" t="n"/>
      <c r="L567" s="28" t="n"/>
      <c r="M567" s="28" t="n"/>
      <c r="N567" s="28" t="n"/>
    </row>
    <row r="568">
      <c r="J568" s="480" t="n"/>
      <c r="K568" s="28" t="n"/>
      <c r="L568" s="28" t="n"/>
      <c r="M568" s="28" t="n"/>
      <c r="N568" s="28" t="n"/>
    </row>
    <row r="569">
      <c r="J569" s="480" t="n"/>
      <c r="K569" s="28" t="n"/>
      <c r="L569" s="28" t="n"/>
      <c r="M569" s="28" t="n"/>
      <c r="N569" s="28" t="n"/>
    </row>
    <row r="570">
      <c r="J570" s="480" t="n"/>
      <c r="K570" s="28" t="n"/>
      <c r="L570" s="28" t="n"/>
      <c r="M570" s="28" t="n"/>
      <c r="N570" s="28" t="n"/>
    </row>
    <row r="571">
      <c r="J571" s="480" t="n"/>
      <c r="K571" s="28" t="n"/>
      <c r="L571" s="28" t="n"/>
      <c r="M571" s="28" t="n"/>
      <c r="N571" s="28" t="n"/>
    </row>
    <row r="572">
      <c r="J572" s="480" t="n"/>
      <c r="K572" s="28" t="n"/>
      <c r="L572" s="28" t="n"/>
      <c r="M572" s="28" t="n"/>
      <c r="N572" s="28" t="n"/>
    </row>
    <row r="573">
      <c r="J573" s="480" t="n"/>
      <c r="K573" s="28" t="n"/>
      <c r="L573" s="28" t="n"/>
      <c r="M573" s="28" t="n"/>
      <c r="N573" s="28" t="n"/>
    </row>
    <row r="574">
      <c r="J574" s="480" t="n"/>
      <c r="K574" s="28" t="n"/>
      <c r="L574" s="28" t="n"/>
      <c r="M574" s="28" t="n"/>
      <c r="N574" s="28" t="n"/>
    </row>
    <row r="575">
      <c r="J575" s="480" t="n"/>
      <c r="K575" s="28" t="n"/>
      <c r="L575" s="28" t="n"/>
      <c r="M575" s="28" t="n"/>
      <c r="N575" s="28" t="n"/>
    </row>
    <row r="576">
      <c r="J576" s="480" t="n"/>
      <c r="K576" s="28" t="n"/>
      <c r="L576" s="28" t="n"/>
      <c r="M576" s="28" t="n"/>
      <c r="N576" s="28" t="n"/>
    </row>
    <row r="577">
      <c r="J577" s="480" t="n"/>
      <c r="K577" s="28" t="n"/>
      <c r="L577" s="28" t="n"/>
      <c r="M577" s="28" t="n"/>
      <c r="N577" s="28" t="n"/>
    </row>
    <row r="578">
      <c r="J578" s="480" t="n"/>
      <c r="K578" s="28" t="n"/>
      <c r="L578" s="28" t="n"/>
      <c r="M578" s="28" t="n"/>
      <c r="N578" s="28" t="n"/>
    </row>
    <row r="579">
      <c r="J579" s="480" t="n"/>
      <c r="K579" s="28" t="n"/>
      <c r="L579" s="28" t="n"/>
      <c r="M579" s="28" t="n"/>
      <c r="N579" s="28" t="n"/>
    </row>
    <row r="580">
      <c r="J580" s="480" t="n"/>
      <c r="K580" s="28" t="n"/>
      <c r="L580" s="28" t="n"/>
      <c r="M580" s="28" t="n"/>
      <c r="N580" s="28" t="n"/>
    </row>
    <row r="581">
      <c r="J581" s="480" t="n"/>
      <c r="K581" s="28" t="n"/>
      <c r="L581" s="28" t="n"/>
      <c r="M581" s="28" t="n"/>
      <c r="N581" s="28" t="n"/>
    </row>
    <row r="582">
      <c r="J582" s="480" t="n"/>
      <c r="K582" s="28" t="n"/>
      <c r="L582" s="28" t="n"/>
      <c r="M582" s="28" t="n"/>
      <c r="N582" s="28" t="n"/>
    </row>
    <row r="583">
      <c r="J583" s="480" t="n"/>
      <c r="K583" s="28" t="n"/>
      <c r="L583" s="28" t="n"/>
      <c r="M583" s="28" t="n"/>
      <c r="N583" s="28" t="n"/>
    </row>
    <row r="584">
      <c r="J584" s="480" t="n"/>
      <c r="K584" s="28" t="n"/>
      <c r="L584" s="28" t="n"/>
      <c r="M584" s="28" t="n"/>
      <c r="N584" s="28" t="n"/>
    </row>
    <row r="585">
      <c r="J585" s="480" t="n"/>
      <c r="K585" s="28" t="n"/>
      <c r="L585" s="28" t="n"/>
      <c r="M585" s="28" t="n"/>
      <c r="N585" s="28" t="n"/>
    </row>
    <row r="586">
      <c r="J586" s="480" t="n"/>
      <c r="K586" s="28" t="n"/>
      <c r="L586" s="28" t="n"/>
      <c r="M586" s="28" t="n"/>
      <c r="N586" s="28" t="n"/>
    </row>
    <row r="587">
      <c r="J587" s="480" t="n"/>
      <c r="K587" s="28" t="n"/>
      <c r="L587" s="28" t="n"/>
      <c r="M587" s="28" t="n"/>
      <c r="N587" s="28" t="n"/>
    </row>
    <row r="588">
      <c r="J588" s="480" t="n"/>
      <c r="K588" s="28" t="n"/>
      <c r="L588" s="28" t="n"/>
      <c r="M588" s="28" t="n"/>
      <c r="N588" s="28" t="n"/>
    </row>
    <row r="589">
      <c r="J589" s="480" t="n"/>
      <c r="K589" s="28" t="n"/>
      <c r="L589" s="28" t="n"/>
      <c r="M589" s="28" t="n"/>
      <c r="N589" s="28" t="n"/>
    </row>
    <row r="590">
      <c r="J590" s="480" t="n"/>
      <c r="K590" s="28" t="n"/>
      <c r="L590" s="28" t="n"/>
      <c r="M590" s="28" t="n"/>
      <c r="N590" s="28" t="n"/>
    </row>
    <row r="591">
      <c r="J591" s="480" t="n"/>
      <c r="K591" s="28" t="n"/>
      <c r="L591" s="28" t="n"/>
      <c r="M591" s="28" t="n"/>
      <c r="N591" s="28" t="n"/>
    </row>
    <row r="592">
      <c r="J592" s="480" t="n"/>
      <c r="K592" s="28" t="n"/>
      <c r="L592" s="28" t="n"/>
      <c r="M592" s="28" t="n"/>
      <c r="N592" s="28" t="n"/>
    </row>
    <row r="593">
      <c r="J593" s="480" t="n"/>
      <c r="K593" s="28" t="n"/>
      <c r="L593" s="28" t="n"/>
      <c r="M593" s="28" t="n"/>
      <c r="N593" s="28" t="n"/>
    </row>
    <row r="594">
      <c r="J594" s="480" t="n"/>
      <c r="K594" s="28" t="n"/>
      <c r="L594" s="28" t="n"/>
      <c r="M594" s="28" t="n"/>
      <c r="N594" s="28" t="n"/>
    </row>
    <row r="595">
      <c r="J595" s="480" t="n"/>
      <c r="K595" s="28" t="n"/>
      <c r="L595" s="28" t="n"/>
      <c r="M595" s="28" t="n"/>
      <c r="N595" s="28" t="n"/>
    </row>
    <row r="596">
      <c r="J596" s="480" t="n"/>
      <c r="K596" s="28" t="n"/>
      <c r="L596" s="28" t="n"/>
      <c r="M596" s="28" t="n"/>
      <c r="N596" s="28" t="n"/>
    </row>
    <row r="597">
      <c r="J597" s="480" t="n"/>
      <c r="K597" s="28" t="n"/>
      <c r="L597" s="28" t="n"/>
      <c r="M597" s="28" t="n"/>
      <c r="N597" s="28" t="n"/>
    </row>
    <row r="598">
      <c r="J598" s="480" t="n"/>
      <c r="K598" s="28" t="n"/>
      <c r="L598" s="28" t="n"/>
      <c r="M598" s="28" t="n"/>
      <c r="N598" s="28" t="n"/>
    </row>
    <row r="599">
      <c r="J599" s="480" t="n"/>
      <c r="K599" s="28" t="n"/>
      <c r="L599" s="28" t="n"/>
      <c r="M599" s="28" t="n"/>
      <c r="N599" s="28" t="n"/>
    </row>
    <row r="600">
      <c r="J600" s="480" t="n"/>
      <c r="K600" s="28" t="n"/>
      <c r="L600" s="28" t="n"/>
      <c r="M600" s="28" t="n"/>
      <c r="N600" s="28" t="n"/>
    </row>
    <row r="601">
      <c r="J601" s="480" t="n"/>
      <c r="K601" s="28" t="n"/>
      <c r="L601" s="28" t="n"/>
      <c r="M601" s="28" t="n"/>
      <c r="N601" s="28" t="n"/>
    </row>
    <row r="602">
      <c r="J602" s="480" t="n"/>
      <c r="K602" s="28" t="n"/>
      <c r="L602" s="28" t="n"/>
      <c r="M602" s="28" t="n"/>
      <c r="N602" s="28" t="n"/>
    </row>
    <row r="603">
      <c r="J603" s="480" t="n"/>
      <c r="K603" s="28" t="n"/>
      <c r="L603" s="28" t="n"/>
      <c r="M603" s="28" t="n"/>
      <c r="N603" s="28" t="n"/>
    </row>
    <row r="604">
      <c r="J604" s="480" t="n"/>
      <c r="K604" s="28" t="n"/>
      <c r="L604" s="28" t="n"/>
      <c r="M604" s="28" t="n"/>
      <c r="N604" s="28" t="n"/>
    </row>
    <row r="605">
      <c r="J605" s="480" t="n"/>
      <c r="K605" s="28" t="n"/>
      <c r="L605" s="28" t="n"/>
      <c r="M605" s="28" t="n"/>
      <c r="N605" s="28" t="n"/>
    </row>
    <row r="606">
      <c r="J606" s="480" t="n"/>
      <c r="K606" s="28" t="n"/>
      <c r="L606" s="28" t="n"/>
      <c r="M606" s="28" t="n"/>
      <c r="N606" s="28" t="n"/>
    </row>
    <row r="607">
      <c r="J607" s="480" t="n"/>
      <c r="K607" s="28" t="n"/>
      <c r="L607" s="28" t="n"/>
      <c r="M607" s="28" t="n"/>
      <c r="N607" s="28" t="n"/>
    </row>
    <row r="608">
      <c r="J608" s="480" t="n"/>
      <c r="K608" s="28" t="n"/>
      <c r="L608" s="28" t="n"/>
      <c r="M608" s="28" t="n"/>
      <c r="N608" s="28" t="n"/>
    </row>
    <row r="609">
      <c r="J609" s="480" t="n"/>
      <c r="K609" s="28" t="n"/>
      <c r="L609" s="28" t="n"/>
      <c r="M609" s="28" t="n"/>
      <c r="N609" s="28" t="n"/>
    </row>
    <row r="610">
      <c r="J610" s="480" t="n"/>
      <c r="K610" s="28" t="n"/>
      <c r="L610" s="28" t="n"/>
      <c r="M610" s="28" t="n"/>
      <c r="N610" s="28" t="n"/>
    </row>
    <row r="611">
      <c r="J611" s="480" t="n"/>
      <c r="K611" s="28" t="n"/>
      <c r="L611" s="28" t="n"/>
      <c r="M611" s="28" t="n"/>
      <c r="N611" s="28" t="n"/>
    </row>
    <row r="612">
      <c r="J612" s="480" t="n"/>
      <c r="K612" s="28" t="n"/>
      <c r="L612" s="28" t="n"/>
      <c r="M612" s="28" t="n"/>
      <c r="N612" s="28" t="n"/>
    </row>
    <row r="613">
      <c r="J613" s="480" t="n"/>
      <c r="K613" s="28" t="n"/>
      <c r="L613" s="28" t="n"/>
      <c r="M613" s="28" t="n"/>
      <c r="N613" s="28" t="n"/>
    </row>
    <row r="614">
      <c r="J614" s="480" t="n"/>
      <c r="K614" s="28" t="n"/>
      <c r="L614" s="28" t="n"/>
      <c r="M614" s="28" t="n"/>
      <c r="N614" s="28" t="n"/>
    </row>
    <row r="615">
      <c r="J615" s="480" t="n"/>
      <c r="K615" s="28" t="n"/>
      <c r="L615" s="28" t="n"/>
      <c r="M615" s="28" t="n"/>
      <c r="N615" s="28" t="n"/>
    </row>
    <row r="616">
      <c r="J616" s="480" t="n"/>
      <c r="K616" s="28" t="n"/>
      <c r="L616" s="28" t="n"/>
      <c r="M616" s="28" t="n"/>
      <c r="N616" s="28" t="n"/>
    </row>
    <row r="617">
      <c r="J617" s="480" t="n"/>
      <c r="K617" s="28" t="n"/>
      <c r="L617" s="28" t="n"/>
      <c r="M617" s="28" t="n"/>
      <c r="N617" s="28" t="n"/>
    </row>
    <row r="618">
      <c r="J618" s="480" t="n"/>
      <c r="K618" s="28" t="n"/>
      <c r="L618" s="28" t="n"/>
      <c r="M618" s="28" t="n"/>
      <c r="N618" s="28" t="n"/>
    </row>
    <row r="619">
      <c r="J619" s="480" t="n"/>
      <c r="K619" s="28" t="n"/>
      <c r="L619" s="28" t="n"/>
      <c r="M619" s="28" t="n"/>
      <c r="N619" s="28" t="n"/>
    </row>
    <row r="620">
      <c r="J620" s="480" t="n"/>
      <c r="K620" s="28" t="n"/>
      <c r="L620" s="28" t="n"/>
      <c r="M620" s="28" t="n"/>
      <c r="N620" s="28" t="n"/>
    </row>
    <row r="621">
      <c r="J621" s="480" t="n"/>
      <c r="K621" s="28" t="n"/>
      <c r="L621" s="28" t="n"/>
      <c r="M621" s="28" t="n"/>
      <c r="N621" s="28" t="n"/>
    </row>
    <row r="622">
      <c r="J622" s="480" t="n"/>
      <c r="K622" s="28" t="n"/>
      <c r="L622" s="28" t="n"/>
      <c r="M622" s="28" t="n"/>
      <c r="N622" s="28" t="n"/>
    </row>
    <row r="623">
      <c r="J623" s="480" t="n"/>
      <c r="K623" s="28" t="n"/>
      <c r="L623" s="28" t="n"/>
      <c r="M623" s="28" t="n"/>
      <c r="N623" s="28" t="n"/>
    </row>
    <row r="624">
      <c r="J624" s="480" t="n"/>
      <c r="K624" s="28" t="n"/>
      <c r="L624" s="28" t="n"/>
      <c r="M624" s="28" t="n"/>
      <c r="N624" s="28" t="n"/>
    </row>
    <row r="625">
      <c r="J625" s="480" t="n"/>
      <c r="K625" s="28" t="n"/>
      <c r="L625" s="28" t="n"/>
      <c r="M625" s="28" t="n"/>
      <c r="N625" s="28" t="n"/>
    </row>
    <row r="626">
      <c r="J626" s="480" t="n"/>
      <c r="K626" s="28" t="n"/>
      <c r="L626" s="28" t="n"/>
      <c r="M626" s="28" t="n"/>
      <c r="N626" s="28" t="n"/>
    </row>
    <row r="627">
      <c r="J627" s="480" t="n"/>
      <c r="K627" s="28" t="n"/>
      <c r="L627" s="28" t="n"/>
      <c r="M627" s="28" t="n"/>
      <c r="N627" s="28" t="n"/>
    </row>
    <row r="628">
      <c r="J628" s="480" t="n"/>
      <c r="K628" s="28" t="n"/>
      <c r="L628" s="28" t="n"/>
      <c r="M628" s="28" t="n"/>
      <c r="N628" s="28" t="n"/>
    </row>
    <row r="629">
      <c r="J629" s="480" t="n"/>
      <c r="K629" s="28" t="n"/>
      <c r="L629" s="28" t="n"/>
      <c r="M629" s="28" t="n"/>
      <c r="N629" s="28" t="n"/>
    </row>
    <row r="630">
      <c r="J630" s="480" t="n"/>
      <c r="K630" s="28" t="n"/>
      <c r="L630" s="28" t="n"/>
      <c r="M630" s="28" t="n"/>
      <c r="N630" s="28" t="n"/>
    </row>
    <row r="631">
      <c r="J631" s="480" t="n"/>
      <c r="K631" s="28" t="n"/>
      <c r="L631" s="28" t="n"/>
      <c r="M631" s="28" t="n"/>
      <c r="N631" s="28" t="n"/>
    </row>
    <row r="632">
      <c r="J632" s="480" t="n"/>
      <c r="K632" s="28" t="n"/>
      <c r="L632" s="28" t="n"/>
      <c r="M632" s="28" t="n"/>
      <c r="N632" s="28" t="n"/>
    </row>
    <row r="633">
      <c r="J633" s="480" t="n"/>
      <c r="K633" s="28" t="n"/>
      <c r="L633" s="28" t="n"/>
      <c r="M633" s="28" t="n"/>
      <c r="N633" s="28" t="n"/>
    </row>
    <row r="634">
      <c r="J634" s="480" t="n"/>
      <c r="K634" s="28" t="n"/>
      <c r="L634" s="28" t="n"/>
      <c r="M634" s="28" t="n"/>
      <c r="N634" s="28" t="n"/>
    </row>
    <row r="635">
      <c r="J635" s="480" t="n"/>
      <c r="K635" s="28" t="n"/>
      <c r="L635" s="28" t="n"/>
      <c r="M635" s="28" t="n"/>
      <c r="N635" s="28" t="n"/>
    </row>
    <row r="636">
      <c r="J636" s="480" t="n"/>
      <c r="K636" s="28" t="n"/>
      <c r="L636" s="28" t="n"/>
      <c r="M636" s="28" t="n"/>
      <c r="N636" s="28" t="n"/>
    </row>
    <row r="637">
      <c r="J637" s="480" t="n"/>
      <c r="K637" s="28" t="n"/>
      <c r="L637" s="28" t="n"/>
      <c r="M637" s="28" t="n"/>
      <c r="N637" s="28" t="n"/>
    </row>
    <row r="638">
      <c r="J638" s="480" t="n"/>
      <c r="K638" s="28" t="n"/>
      <c r="L638" s="28" t="n"/>
      <c r="M638" s="28" t="n"/>
      <c r="N638" s="28" t="n"/>
    </row>
    <row r="639">
      <c r="J639" s="480" t="n"/>
      <c r="K639" s="28" t="n"/>
      <c r="L639" s="28" t="n"/>
      <c r="M639" s="28" t="n"/>
      <c r="N639" s="28" t="n"/>
    </row>
    <row r="640">
      <c r="J640" s="480" t="n"/>
      <c r="K640" s="28" t="n"/>
      <c r="L640" s="28" t="n"/>
      <c r="M640" s="28" t="n"/>
      <c r="N640" s="28" t="n"/>
    </row>
    <row r="641">
      <c r="J641" s="480" t="n"/>
      <c r="K641" s="28" t="n"/>
      <c r="L641" s="28" t="n"/>
      <c r="M641" s="28" t="n"/>
      <c r="N641" s="28" t="n"/>
    </row>
    <row r="642">
      <c r="J642" s="480" t="n"/>
      <c r="K642" s="28" t="n"/>
      <c r="L642" s="28" t="n"/>
      <c r="M642" s="28" t="n"/>
      <c r="N642" s="28" t="n"/>
    </row>
    <row r="643">
      <c r="J643" s="480" t="n"/>
      <c r="K643" s="28" t="n"/>
      <c r="L643" s="28" t="n"/>
      <c r="M643" s="28" t="n"/>
      <c r="N643" s="28" t="n"/>
    </row>
    <row r="644">
      <c r="J644" s="480" t="n"/>
      <c r="K644" s="28" t="n"/>
      <c r="L644" s="28" t="n"/>
      <c r="M644" s="28" t="n"/>
      <c r="N644" s="28" t="n"/>
    </row>
    <row r="645">
      <c r="J645" s="480" t="n"/>
      <c r="K645" s="28" t="n"/>
      <c r="L645" s="28" t="n"/>
      <c r="M645" s="28" t="n"/>
      <c r="N645" s="28" t="n"/>
    </row>
    <row r="646">
      <c r="J646" s="480" t="n"/>
      <c r="K646" s="28" t="n"/>
      <c r="L646" s="28" t="n"/>
      <c r="M646" s="28" t="n"/>
      <c r="N646" s="28" t="n"/>
    </row>
    <row r="647">
      <c r="J647" s="480" t="n"/>
      <c r="K647" s="28" t="n"/>
      <c r="L647" s="28" t="n"/>
      <c r="M647" s="28" t="n"/>
      <c r="N647" s="28" t="n"/>
    </row>
    <row r="648">
      <c r="J648" s="480" t="n"/>
      <c r="K648" s="28" t="n"/>
      <c r="L648" s="28" t="n"/>
      <c r="M648" s="28" t="n"/>
      <c r="N648" s="28" t="n"/>
    </row>
    <row r="649">
      <c r="J649" s="480" t="n"/>
      <c r="K649" s="28" t="n"/>
      <c r="L649" s="28" t="n"/>
      <c r="M649" s="28" t="n"/>
      <c r="N649" s="28" t="n"/>
    </row>
    <row r="650">
      <c r="J650" s="480" t="n"/>
      <c r="K650" s="28" t="n"/>
      <c r="L650" s="28" t="n"/>
      <c r="M650" s="28" t="n"/>
      <c r="N650" s="28" t="n"/>
    </row>
    <row r="651">
      <c r="J651" s="480" t="n"/>
      <c r="K651" s="28" t="n"/>
      <c r="L651" s="28" t="n"/>
      <c r="M651" s="28" t="n"/>
      <c r="N651" s="28" t="n"/>
    </row>
    <row r="652">
      <c r="J652" s="480" t="n"/>
      <c r="K652" s="28" t="n"/>
      <c r="L652" s="28" t="n"/>
      <c r="M652" s="28" t="n"/>
      <c r="N652" s="28" t="n"/>
    </row>
    <row r="653">
      <c r="J653" s="480" t="n"/>
      <c r="K653" s="28" t="n"/>
      <c r="L653" s="28" t="n"/>
      <c r="M653" s="28" t="n"/>
      <c r="N653" s="28" t="n"/>
    </row>
    <row r="654">
      <c r="J654" s="480" t="n"/>
      <c r="K654" s="28" t="n"/>
      <c r="L654" s="28" t="n"/>
      <c r="M654" s="28" t="n"/>
      <c r="N654" s="28" t="n"/>
    </row>
    <row r="655">
      <c r="J655" s="480" t="n"/>
      <c r="K655" s="28" t="n"/>
      <c r="L655" s="28" t="n"/>
      <c r="M655" s="28" t="n"/>
      <c r="N655" s="28" t="n"/>
    </row>
    <row r="656">
      <c r="J656" s="480" t="n"/>
      <c r="K656" s="28" t="n"/>
      <c r="L656" s="28" t="n"/>
      <c r="M656" s="28" t="n"/>
      <c r="N656" s="28" t="n"/>
    </row>
    <row r="657">
      <c r="J657" s="480" t="n"/>
      <c r="K657" s="28" t="n"/>
      <c r="L657" s="28" t="n"/>
      <c r="M657" s="28" t="n"/>
      <c r="N657" s="28" t="n"/>
    </row>
    <row r="658">
      <c r="J658" s="480" t="n"/>
      <c r="K658" s="28" t="n"/>
      <c r="L658" s="28" t="n"/>
      <c r="M658" s="28" t="n"/>
      <c r="N658" s="28" t="n"/>
    </row>
    <row r="659">
      <c r="J659" s="480" t="n"/>
      <c r="K659" s="28" t="n"/>
      <c r="L659" s="28" t="n"/>
      <c r="M659" s="28" t="n"/>
      <c r="N659" s="28" t="n"/>
    </row>
    <row r="660">
      <c r="J660" s="480" t="n"/>
      <c r="K660" s="28" t="n"/>
      <c r="L660" s="28" t="n"/>
      <c r="M660" s="28" t="n"/>
      <c r="N660" s="28" t="n"/>
    </row>
    <row r="661">
      <c r="J661" s="480" t="n"/>
      <c r="K661" s="28" t="n"/>
      <c r="L661" s="28" t="n"/>
      <c r="M661" s="28" t="n"/>
      <c r="N661" s="28" t="n"/>
    </row>
    <row r="662">
      <c r="J662" s="480" t="n"/>
      <c r="K662" s="28" t="n"/>
      <c r="L662" s="28" t="n"/>
      <c r="M662" s="28" t="n"/>
      <c r="N662" s="28" t="n"/>
    </row>
    <row r="663">
      <c r="J663" s="480" t="n"/>
      <c r="K663" s="28" t="n"/>
      <c r="L663" s="28" t="n"/>
      <c r="M663" s="28" t="n"/>
      <c r="N663" s="28" t="n"/>
    </row>
    <row r="664">
      <c r="J664" s="480" t="n"/>
      <c r="K664" s="28" t="n"/>
      <c r="L664" s="28" t="n"/>
      <c r="M664" s="28" t="n"/>
      <c r="N664" s="28" t="n"/>
    </row>
    <row r="665">
      <c r="J665" s="480" t="n"/>
      <c r="K665" s="28" t="n"/>
      <c r="L665" s="28" t="n"/>
      <c r="M665" s="28" t="n"/>
      <c r="N665" s="28" t="n"/>
    </row>
    <row r="666">
      <c r="J666" s="480" t="n"/>
      <c r="K666" s="28" t="n"/>
      <c r="L666" s="28" t="n"/>
      <c r="M666" s="28" t="n"/>
      <c r="N666" s="28" t="n"/>
    </row>
    <row r="667">
      <c r="J667" s="480" t="n"/>
      <c r="K667" s="28" t="n"/>
      <c r="L667" s="28" t="n"/>
      <c r="M667" s="28" t="n"/>
      <c r="N667" s="28" t="n"/>
    </row>
    <row r="668">
      <c r="J668" s="480" t="n"/>
      <c r="K668" s="28" t="n"/>
      <c r="L668" s="28" t="n"/>
      <c r="M668" s="28" t="n"/>
      <c r="N668" s="28" t="n"/>
    </row>
    <row r="669">
      <c r="J669" s="480" t="n"/>
      <c r="K669" s="28" t="n"/>
      <c r="L669" s="28" t="n"/>
      <c r="M669" s="28" t="n"/>
      <c r="N669" s="28" t="n"/>
    </row>
    <row r="670">
      <c r="J670" s="480" t="n"/>
      <c r="K670" s="28" t="n"/>
      <c r="L670" s="28" t="n"/>
      <c r="M670" s="28" t="n"/>
      <c r="N670" s="28" t="n"/>
    </row>
    <row r="671">
      <c r="J671" s="480" t="n"/>
      <c r="K671" s="28" t="n"/>
      <c r="L671" s="28" t="n"/>
      <c r="M671" s="28" t="n"/>
      <c r="N671" s="28" t="n"/>
    </row>
    <row r="672">
      <c r="J672" s="480" t="n"/>
      <c r="K672" s="28" t="n"/>
      <c r="L672" s="28" t="n"/>
      <c r="M672" s="28" t="n"/>
      <c r="N672" s="28" t="n"/>
    </row>
    <row r="673">
      <c r="J673" s="480" t="n"/>
      <c r="K673" s="28" t="n"/>
      <c r="L673" s="28" t="n"/>
      <c r="M673" s="28" t="n"/>
      <c r="N673" s="28" t="n"/>
    </row>
    <row r="674">
      <c r="J674" s="480" t="n"/>
      <c r="K674" s="28" t="n"/>
      <c r="L674" s="28" t="n"/>
      <c r="M674" s="28" t="n"/>
      <c r="N674" s="28" t="n"/>
    </row>
    <row r="675">
      <c r="J675" s="480" t="n"/>
      <c r="K675" s="28" t="n"/>
      <c r="L675" s="28" t="n"/>
      <c r="M675" s="28" t="n"/>
      <c r="N675" s="28" t="n"/>
    </row>
    <row r="676">
      <c r="J676" s="480" t="n"/>
      <c r="K676" s="28" t="n"/>
      <c r="L676" s="28" t="n"/>
      <c r="M676" s="28" t="n"/>
      <c r="N676" s="28" t="n"/>
    </row>
    <row r="677">
      <c r="J677" s="480" t="n"/>
      <c r="K677" s="28" t="n"/>
      <c r="L677" s="28" t="n"/>
      <c r="M677" s="28" t="n"/>
      <c r="N677" s="28" t="n"/>
    </row>
    <row r="678">
      <c r="J678" s="480" t="n"/>
      <c r="K678" s="28" t="n"/>
      <c r="L678" s="28" t="n"/>
      <c r="M678" s="28" t="n"/>
      <c r="N678" s="28" t="n"/>
    </row>
    <row r="679">
      <c r="J679" s="480" t="n"/>
      <c r="K679" s="28" t="n"/>
      <c r="L679" s="28" t="n"/>
      <c r="M679" s="28" t="n"/>
      <c r="N679" s="28" t="n"/>
    </row>
    <row r="680">
      <c r="J680" s="480" t="n"/>
      <c r="K680" s="28" t="n"/>
      <c r="L680" s="28" t="n"/>
      <c r="M680" s="28" t="n"/>
      <c r="N680" s="28" t="n"/>
    </row>
    <row r="681">
      <c r="J681" s="480" t="n"/>
      <c r="K681" s="28" t="n"/>
      <c r="L681" s="28" t="n"/>
      <c r="M681" s="28" t="n"/>
      <c r="N681" s="28" t="n"/>
    </row>
    <row r="682">
      <c r="J682" s="480" t="n"/>
      <c r="K682" s="28" t="n"/>
      <c r="L682" s="28" t="n"/>
      <c r="M682" s="28" t="n"/>
      <c r="N682" s="28" t="n"/>
    </row>
    <row r="683">
      <c r="J683" s="480" t="n"/>
      <c r="K683" s="28" t="n"/>
      <c r="L683" s="28" t="n"/>
      <c r="M683" s="28" t="n"/>
      <c r="N683" s="28" t="n"/>
    </row>
    <row r="684">
      <c r="J684" s="480" t="n"/>
      <c r="K684" s="28" t="n"/>
      <c r="L684" s="28" t="n"/>
      <c r="M684" s="28" t="n"/>
      <c r="N684" s="28" t="n"/>
    </row>
    <row r="685">
      <c r="J685" s="480" t="n"/>
      <c r="K685" s="28" t="n"/>
      <c r="L685" s="28" t="n"/>
      <c r="M685" s="28" t="n"/>
      <c r="N685" s="28" t="n"/>
    </row>
    <row r="686">
      <c r="J686" s="480" t="n"/>
      <c r="K686" s="28" t="n"/>
      <c r="L686" s="28" t="n"/>
      <c r="M686" s="28" t="n"/>
      <c r="N686" s="28" t="n"/>
    </row>
    <row r="687">
      <c r="J687" s="480" t="n"/>
      <c r="K687" s="28" t="n"/>
      <c r="L687" s="28" t="n"/>
      <c r="M687" s="28" t="n"/>
      <c r="N687" s="28" t="n"/>
    </row>
    <row r="688">
      <c r="J688" s="480" t="n"/>
      <c r="K688" s="28" t="n"/>
      <c r="L688" s="28" t="n"/>
      <c r="M688" s="28" t="n"/>
      <c r="N688" s="28" t="n"/>
    </row>
    <row r="689">
      <c r="J689" s="480" t="n"/>
      <c r="K689" s="28" t="n"/>
      <c r="L689" s="28" t="n"/>
      <c r="M689" s="28" t="n"/>
      <c r="N689" s="28" t="n"/>
    </row>
    <row r="690">
      <c r="J690" s="480" t="n"/>
      <c r="K690" s="28" t="n"/>
      <c r="L690" s="28" t="n"/>
      <c r="M690" s="28" t="n"/>
      <c r="N690" s="28" t="n"/>
    </row>
    <row r="691">
      <c r="J691" s="480" t="n"/>
      <c r="K691" s="28" t="n"/>
      <c r="L691" s="28" t="n"/>
      <c r="M691" s="28" t="n"/>
      <c r="N691" s="28" t="n"/>
    </row>
    <row r="692">
      <c r="J692" s="480" t="n"/>
      <c r="K692" s="28" t="n"/>
      <c r="L692" s="28" t="n"/>
      <c r="M692" s="28" t="n"/>
      <c r="N692" s="28" t="n"/>
    </row>
    <row r="693">
      <c r="J693" s="480" t="n"/>
      <c r="K693" s="28" t="n"/>
      <c r="L693" s="28" t="n"/>
      <c r="M693" s="28" t="n"/>
      <c r="N693" s="28" t="n"/>
    </row>
    <row r="694">
      <c r="J694" s="480" t="n"/>
      <c r="K694" s="28" t="n"/>
      <c r="L694" s="28" t="n"/>
      <c r="M694" s="28" t="n"/>
      <c r="N694" s="28" t="n"/>
    </row>
    <row r="695">
      <c r="J695" s="480" t="n"/>
      <c r="K695" s="28" t="n"/>
      <c r="L695" s="28" t="n"/>
      <c r="M695" s="28" t="n"/>
      <c r="N695" s="28" t="n"/>
    </row>
    <row r="696">
      <c r="J696" s="480" t="n"/>
      <c r="K696" s="28" t="n"/>
      <c r="L696" s="28" t="n"/>
      <c r="M696" s="28" t="n"/>
      <c r="N696" s="28" t="n"/>
    </row>
    <row r="697">
      <c r="J697" s="480" t="n"/>
      <c r="K697" s="28" t="n"/>
      <c r="L697" s="28" t="n"/>
      <c r="M697" s="28" t="n"/>
      <c r="N697" s="28" t="n"/>
    </row>
    <row r="698">
      <c r="J698" s="480" t="n"/>
      <c r="K698" s="28" t="n"/>
      <c r="L698" s="28" t="n"/>
      <c r="M698" s="28" t="n"/>
      <c r="N698" s="28" t="n"/>
    </row>
    <row r="699">
      <c r="J699" s="480" t="n"/>
      <c r="K699" s="28" t="n"/>
      <c r="L699" s="28" t="n"/>
      <c r="M699" s="28" t="n"/>
      <c r="N699" s="28" t="n"/>
    </row>
    <row r="700">
      <c r="J700" s="480" t="n"/>
      <c r="K700" s="28" t="n"/>
      <c r="L700" s="28" t="n"/>
      <c r="M700" s="28" t="n"/>
      <c r="N700" s="28" t="n"/>
    </row>
    <row r="701">
      <c r="J701" s="480" t="n"/>
      <c r="K701" s="28" t="n"/>
      <c r="L701" s="28" t="n"/>
      <c r="M701" s="28" t="n"/>
      <c r="N701" s="28" t="n"/>
    </row>
    <row r="702">
      <c r="J702" s="480" t="n"/>
      <c r="K702" s="28" t="n"/>
      <c r="L702" s="28" t="n"/>
      <c r="M702" s="28" t="n"/>
      <c r="N702" s="28" t="n"/>
    </row>
    <row r="703">
      <c r="J703" s="480" t="n"/>
      <c r="K703" s="28" t="n"/>
      <c r="L703" s="28" t="n"/>
      <c r="M703" s="28" t="n"/>
      <c r="N703" s="28" t="n"/>
    </row>
    <row r="704">
      <c r="J704" s="480" t="n"/>
      <c r="K704" s="28" t="n"/>
      <c r="L704" s="28" t="n"/>
      <c r="M704" s="28" t="n"/>
      <c r="N704" s="28" t="n"/>
    </row>
    <row r="705">
      <c r="J705" s="480" t="n"/>
      <c r="K705" s="28" t="n"/>
      <c r="L705" s="28" t="n"/>
      <c r="M705" s="28" t="n"/>
      <c r="N705" s="28" t="n"/>
    </row>
    <row r="706">
      <c r="J706" s="480" t="n"/>
      <c r="K706" s="28" t="n"/>
      <c r="L706" s="28" t="n"/>
      <c r="M706" s="28" t="n"/>
      <c r="N706" s="28" t="n"/>
    </row>
    <row r="707">
      <c r="J707" s="480" t="n"/>
      <c r="K707" s="28" t="n"/>
      <c r="L707" s="28" t="n"/>
      <c r="M707" s="28" t="n"/>
      <c r="N707" s="28" t="n"/>
    </row>
    <row r="708">
      <c r="J708" s="480" t="n"/>
      <c r="K708" s="28" t="n"/>
      <c r="L708" s="28" t="n"/>
      <c r="M708" s="28" t="n"/>
      <c r="N708" s="28" t="n"/>
    </row>
    <row r="709">
      <c r="J709" s="480" t="n"/>
      <c r="K709" s="28" t="n"/>
      <c r="L709" s="28" t="n"/>
      <c r="M709" s="28" t="n"/>
      <c r="N709" s="28" t="n"/>
    </row>
    <row r="710">
      <c r="J710" s="480" t="n"/>
      <c r="K710" s="28" t="n"/>
      <c r="L710" s="28" t="n"/>
      <c r="M710" s="28" t="n"/>
      <c r="N710" s="28" t="n"/>
    </row>
    <row r="711">
      <c r="J711" s="480" t="n"/>
      <c r="K711" s="28" t="n"/>
      <c r="L711" s="28" t="n"/>
      <c r="M711" s="28" t="n"/>
      <c r="N711" s="28" t="n"/>
    </row>
    <row r="712">
      <c r="J712" s="480" t="n"/>
      <c r="K712" s="28" t="n"/>
      <c r="L712" s="28" t="n"/>
      <c r="M712" s="28" t="n"/>
      <c r="N712" s="28" t="n"/>
    </row>
    <row r="713">
      <c r="J713" s="480" t="n"/>
      <c r="K713" s="28" t="n"/>
      <c r="L713" s="28" t="n"/>
      <c r="M713" s="28" t="n"/>
      <c r="N713" s="28" t="n"/>
    </row>
    <row r="714">
      <c r="J714" s="480" t="n"/>
      <c r="K714" s="28" t="n"/>
      <c r="L714" s="28" t="n"/>
      <c r="M714" s="28" t="n"/>
      <c r="N714" s="28" t="n"/>
    </row>
    <row r="715">
      <c r="J715" s="480" t="n"/>
      <c r="K715" s="28" t="n"/>
      <c r="L715" s="28" t="n"/>
      <c r="M715" s="28" t="n"/>
      <c r="N715" s="28" t="n"/>
    </row>
    <row r="716">
      <c r="J716" s="480" t="n"/>
      <c r="K716" s="28" t="n"/>
      <c r="L716" s="28" t="n"/>
      <c r="M716" s="28" t="n"/>
      <c r="N716" s="28" t="n"/>
    </row>
    <row r="717">
      <c r="J717" s="480" t="n"/>
      <c r="K717" s="28" t="n"/>
      <c r="L717" s="28" t="n"/>
      <c r="M717" s="28" t="n"/>
      <c r="N717" s="28" t="n"/>
    </row>
    <row r="718">
      <c r="J718" s="480" t="n"/>
      <c r="K718" s="28" t="n"/>
      <c r="L718" s="28" t="n"/>
      <c r="M718" s="28" t="n"/>
      <c r="N718" s="28" t="n"/>
    </row>
    <row r="719">
      <c r="J719" s="480" t="n"/>
      <c r="K719" s="28" t="n"/>
      <c r="L719" s="28" t="n"/>
      <c r="M719" s="28" t="n"/>
      <c r="N719" s="28" t="n"/>
    </row>
    <row r="720">
      <c r="J720" s="480" t="n"/>
      <c r="K720" s="28" t="n"/>
      <c r="L720" s="28" t="n"/>
      <c r="M720" s="28" t="n"/>
      <c r="N720" s="28" t="n"/>
    </row>
    <row r="721">
      <c r="J721" s="480" t="n"/>
      <c r="K721" s="28" t="n"/>
      <c r="L721" s="28" t="n"/>
      <c r="M721" s="28" t="n"/>
      <c r="N721" s="28" t="n"/>
    </row>
    <row r="722">
      <c r="J722" s="480" t="n"/>
      <c r="K722" s="28" t="n"/>
      <c r="L722" s="28" t="n"/>
      <c r="M722" s="28" t="n"/>
      <c r="N722" s="28" t="n"/>
    </row>
    <row r="723">
      <c r="J723" s="480" t="n"/>
      <c r="K723" s="28" t="n"/>
      <c r="L723" s="28" t="n"/>
      <c r="M723" s="28" t="n"/>
      <c r="N723" s="28" t="n"/>
    </row>
    <row r="724">
      <c r="J724" s="480" t="n"/>
      <c r="K724" s="28" t="n"/>
      <c r="L724" s="28" t="n"/>
      <c r="M724" s="28" t="n"/>
      <c r="N724" s="28" t="n"/>
    </row>
    <row r="725">
      <c r="J725" s="480" t="n"/>
      <c r="K725" s="28" t="n"/>
      <c r="L725" s="28" t="n"/>
      <c r="M725" s="28" t="n"/>
      <c r="N725" s="28" t="n"/>
    </row>
    <row r="726">
      <c r="J726" s="480" t="n"/>
      <c r="K726" s="28" t="n"/>
      <c r="L726" s="28" t="n"/>
      <c r="M726" s="28" t="n"/>
      <c r="N726" s="28" t="n"/>
    </row>
    <row r="727">
      <c r="J727" s="480" t="n"/>
      <c r="K727" s="28" t="n"/>
      <c r="L727" s="28" t="n"/>
      <c r="M727" s="28" t="n"/>
      <c r="N727" s="28" t="n"/>
    </row>
    <row r="728">
      <c r="J728" s="480" t="n"/>
      <c r="K728" s="28" t="n"/>
      <c r="L728" s="28" t="n"/>
      <c r="M728" s="28" t="n"/>
      <c r="N728" s="28" t="n"/>
    </row>
    <row r="729">
      <c r="J729" s="480" t="n"/>
      <c r="K729" s="28" t="n"/>
      <c r="L729" s="28" t="n"/>
      <c r="M729" s="28" t="n"/>
      <c r="N729" s="28" t="n"/>
    </row>
    <row r="730">
      <c r="J730" s="480" t="n"/>
      <c r="K730" s="28" t="n"/>
      <c r="L730" s="28" t="n"/>
      <c r="M730" s="28" t="n"/>
      <c r="N730" s="28" t="n"/>
    </row>
    <row r="731">
      <c r="J731" s="480" t="n"/>
      <c r="K731" s="28" t="n"/>
      <c r="L731" s="28" t="n"/>
      <c r="M731" s="28" t="n"/>
      <c r="N731" s="28" t="n"/>
    </row>
    <row r="732">
      <c r="J732" s="480" t="n"/>
      <c r="K732" s="28" t="n"/>
      <c r="L732" s="28" t="n"/>
      <c r="M732" s="28" t="n"/>
      <c r="N732" s="28" t="n"/>
    </row>
    <row r="733">
      <c r="J733" s="480" t="n"/>
      <c r="K733" s="28" t="n"/>
      <c r="L733" s="28" t="n"/>
      <c r="M733" s="28" t="n"/>
      <c r="N733" s="28" t="n"/>
    </row>
    <row r="734">
      <c r="J734" s="480" t="n"/>
      <c r="K734" s="28" t="n"/>
      <c r="L734" s="28" t="n"/>
      <c r="M734" s="28" t="n"/>
      <c r="N734" s="28" t="n"/>
    </row>
    <row r="735">
      <c r="J735" s="480" t="n"/>
      <c r="K735" s="28" t="n"/>
      <c r="L735" s="28" t="n"/>
      <c r="M735" s="28" t="n"/>
      <c r="N735" s="28" t="n"/>
    </row>
    <row r="736">
      <c r="J736" s="480" t="n"/>
      <c r="K736" s="28" t="n"/>
      <c r="L736" s="28" t="n"/>
      <c r="M736" s="28" t="n"/>
      <c r="N736" s="28" t="n"/>
    </row>
    <row r="737">
      <c r="J737" s="480" t="n"/>
      <c r="K737" s="28" t="n"/>
      <c r="L737" s="28" t="n"/>
      <c r="M737" s="28" t="n"/>
      <c r="N737" s="28" t="n"/>
    </row>
    <row r="738">
      <c r="J738" s="480" t="n"/>
      <c r="K738" s="28" t="n"/>
      <c r="L738" s="28" t="n"/>
      <c r="M738" s="28" t="n"/>
      <c r="N738" s="28" t="n"/>
    </row>
    <row r="739">
      <c r="J739" s="480" t="n"/>
      <c r="K739" s="28" t="n"/>
      <c r="L739" s="28" t="n"/>
      <c r="M739" s="28" t="n"/>
      <c r="N739" s="28" t="n"/>
    </row>
    <row r="740">
      <c r="J740" s="480" t="n"/>
      <c r="K740" s="28" t="n"/>
      <c r="L740" s="28" t="n"/>
      <c r="M740" s="28" t="n"/>
      <c r="N740" s="28" t="n"/>
    </row>
    <row r="741">
      <c r="J741" s="480" t="n"/>
      <c r="K741" s="28" t="n"/>
      <c r="L741" s="28" t="n"/>
      <c r="M741" s="28" t="n"/>
      <c r="N741" s="28" t="n"/>
    </row>
    <row r="742">
      <c r="J742" s="480" t="n"/>
      <c r="K742" s="28" t="n"/>
      <c r="L742" s="28" t="n"/>
      <c r="M742" s="28" t="n"/>
      <c r="N742" s="28" t="n"/>
    </row>
    <row r="743">
      <c r="J743" s="480" t="n"/>
      <c r="K743" s="28" t="n"/>
      <c r="L743" s="28" t="n"/>
      <c r="M743" s="28" t="n"/>
      <c r="N743" s="28" t="n"/>
    </row>
    <row r="744">
      <c r="J744" s="480" t="n"/>
      <c r="K744" s="28" t="n"/>
      <c r="L744" s="28" t="n"/>
      <c r="M744" s="28" t="n"/>
      <c r="N744" s="28" t="n"/>
    </row>
    <row r="745">
      <c r="J745" s="480" t="n"/>
      <c r="K745" s="28" t="n"/>
      <c r="L745" s="28" t="n"/>
      <c r="M745" s="28" t="n"/>
      <c r="N745" s="28" t="n"/>
    </row>
    <row r="746">
      <c r="J746" s="480" t="n"/>
      <c r="K746" s="28" t="n"/>
      <c r="L746" s="28" t="n"/>
      <c r="M746" s="28" t="n"/>
      <c r="N746" s="28" t="n"/>
    </row>
    <row r="747">
      <c r="J747" s="480" t="n"/>
      <c r="K747" s="28" t="n"/>
      <c r="L747" s="28" t="n"/>
      <c r="M747" s="28" t="n"/>
      <c r="N747" s="28" t="n"/>
    </row>
    <row r="748">
      <c r="J748" s="480" t="n"/>
      <c r="K748" s="28" t="n"/>
      <c r="L748" s="28" t="n"/>
      <c r="M748" s="28" t="n"/>
      <c r="N748" s="28" t="n"/>
    </row>
    <row r="749">
      <c r="J749" s="480" t="n"/>
      <c r="K749" s="28" t="n"/>
      <c r="L749" s="28" t="n"/>
      <c r="M749" s="28" t="n"/>
      <c r="N749" s="28" t="n"/>
    </row>
    <row r="750">
      <c r="J750" s="480" t="n"/>
      <c r="K750" s="28" t="n"/>
      <c r="L750" s="28" t="n"/>
      <c r="M750" s="28" t="n"/>
      <c r="N750" s="28" t="n"/>
    </row>
    <row r="751">
      <c r="J751" s="480" t="n"/>
      <c r="K751" s="28" t="n"/>
      <c r="L751" s="28" t="n"/>
      <c r="M751" s="28" t="n"/>
      <c r="N751" s="28" t="n"/>
    </row>
    <row r="752">
      <c r="J752" s="480" t="n"/>
      <c r="K752" s="28" t="n"/>
      <c r="L752" s="28" t="n"/>
      <c r="M752" s="28" t="n"/>
      <c r="N752" s="28" t="n"/>
    </row>
    <row r="753">
      <c r="J753" s="480" t="n"/>
      <c r="K753" s="28" t="n"/>
      <c r="L753" s="28" t="n"/>
      <c r="M753" s="28" t="n"/>
      <c r="N753" s="28" t="n"/>
    </row>
    <row r="754">
      <c r="J754" s="480" t="n"/>
      <c r="K754" s="28" t="n"/>
      <c r="L754" s="28" t="n"/>
      <c r="M754" s="28" t="n"/>
      <c r="N754" s="28" t="n"/>
    </row>
    <row r="755">
      <c r="J755" s="480" t="n"/>
      <c r="K755" s="28" t="n"/>
      <c r="L755" s="28" t="n"/>
      <c r="M755" s="28" t="n"/>
      <c r="N755" s="28" t="n"/>
    </row>
    <row r="756">
      <c r="J756" s="480" t="n"/>
      <c r="K756" s="28" t="n"/>
      <c r="L756" s="28" t="n"/>
      <c r="M756" s="28" t="n"/>
      <c r="N756" s="28" t="n"/>
    </row>
    <row r="757">
      <c r="J757" s="480" t="n"/>
      <c r="K757" s="28" t="n"/>
      <c r="L757" s="28" t="n"/>
      <c r="M757" s="28" t="n"/>
      <c r="N757" s="28" t="n"/>
    </row>
    <row r="758">
      <c r="J758" s="480" t="n"/>
      <c r="K758" s="28" t="n"/>
      <c r="L758" s="28" t="n"/>
      <c r="M758" s="28" t="n"/>
      <c r="N758" s="28" t="n"/>
    </row>
    <row r="759">
      <c r="J759" s="480" t="n"/>
      <c r="K759" s="28" t="n"/>
      <c r="L759" s="28" t="n"/>
      <c r="M759" s="28" t="n"/>
      <c r="N759" s="28" t="n"/>
    </row>
    <row r="760">
      <c r="J760" s="480" t="n"/>
      <c r="K760" s="28" t="n"/>
      <c r="L760" s="28" t="n"/>
      <c r="M760" s="28" t="n"/>
      <c r="N760" s="28" t="n"/>
    </row>
    <row r="761">
      <c r="J761" s="480" t="n"/>
      <c r="K761" s="28" t="n"/>
      <c r="L761" s="28" t="n"/>
      <c r="M761" s="28" t="n"/>
      <c r="N761" s="28" t="n"/>
    </row>
    <row r="762">
      <c r="J762" s="480" t="n"/>
      <c r="K762" s="28" t="n"/>
      <c r="L762" s="28" t="n"/>
      <c r="M762" s="28" t="n"/>
      <c r="N762" s="28" t="n"/>
    </row>
    <row r="763">
      <c r="J763" s="480" t="n"/>
      <c r="K763" s="28" t="n"/>
      <c r="L763" s="28" t="n"/>
      <c r="M763" s="28" t="n"/>
      <c r="N763" s="28" t="n"/>
    </row>
    <row r="764">
      <c r="J764" s="480" t="n"/>
      <c r="K764" s="28" t="n"/>
      <c r="L764" s="28" t="n"/>
      <c r="M764" s="28" t="n"/>
      <c r="N764" s="28" t="n"/>
    </row>
    <row r="765">
      <c r="J765" s="480" t="n"/>
      <c r="K765" s="28" t="n"/>
      <c r="L765" s="28" t="n"/>
      <c r="M765" s="28" t="n"/>
      <c r="N765" s="28" t="n"/>
    </row>
    <row r="766">
      <c r="J766" s="480" t="n"/>
      <c r="K766" s="28" t="n"/>
      <c r="L766" s="28" t="n"/>
      <c r="M766" s="28" t="n"/>
      <c r="N766" s="28" t="n"/>
    </row>
    <row r="767">
      <c r="J767" s="480" t="n"/>
      <c r="K767" s="28" t="n"/>
      <c r="L767" s="28" t="n"/>
      <c r="M767" s="28" t="n"/>
      <c r="N767" s="28" t="n"/>
    </row>
    <row r="768">
      <c r="J768" s="480" t="n"/>
      <c r="K768" s="28" t="n"/>
      <c r="L768" s="28" t="n"/>
      <c r="M768" s="28" t="n"/>
      <c r="N768" s="28" t="n"/>
    </row>
    <row r="769">
      <c r="J769" s="480" t="n"/>
      <c r="K769" s="28" t="n"/>
      <c r="L769" s="28" t="n"/>
      <c r="M769" s="28" t="n"/>
      <c r="N769" s="28" t="n"/>
    </row>
    <row r="770">
      <c r="J770" s="480" t="n"/>
      <c r="K770" s="28" t="n"/>
      <c r="L770" s="28" t="n"/>
      <c r="M770" s="28" t="n"/>
      <c r="N770" s="28" t="n"/>
    </row>
    <row r="771">
      <c r="J771" s="480" t="n"/>
      <c r="K771" s="28" t="n"/>
      <c r="L771" s="28" t="n"/>
      <c r="M771" s="28" t="n"/>
      <c r="N771" s="28" t="n"/>
    </row>
    <row r="772">
      <c r="J772" s="480" t="n"/>
      <c r="K772" s="28" t="n"/>
      <c r="L772" s="28" t="n"/>
      <c r="M772" s="28" t="n"/>
      <c r="N772" s="28" t="n"/>
    </row>
    <row r="773">
      <c r="J773" s="480" t="n"/>
      <c r="K773" s="28" t="n"/>
      <c r="L773" s="28" t="n"/>
      <c r="M773" s="28" t="n"/>
      <c r="N773" s="28" t="n"/>
    </row>
    <row r="774">
      <c r="J774" s="480" t="n"/>
      <c r="K774" s="28" t="n"/>
      <c r="L774" s="28" t="n"/>
      <c r="M774" s="28" t="n"/>
      <c r="N774" s="28" t="n"/>
    </row>
    <row r="775">
      <c r="J775" s="480" t="n"/>
      <c r="K775" s="28" t="n"/>
      <c r="L775" s="28" t="n"/>
      <c r="M775" s="28" t="n"/>
      <c r="N775" s="28" t="n"/>
    </row>
    <row r="776">
      <c r="J776" s="480" t="n"/>
      <c r="K776" s="28" t="n"/>
      <c r="L776" s="28" t="n"/>
      <c r="M776" s="28" t="n"/>
      <c r="N776" s="28" t="n"/>
    </row>
    <row r="777">
      <c r="J777" s="480" t="n"/>
      <c r="K777" s="28" t="n"/>
      <c r="L777" s="28" t="n"/>
      <c r="M777" s="28" t="n"/>
      <c r="N777" s="28" t="n"/>
    </row>
    <row r="778">
      <c r="J778" s="480" t="n"/>
      <c r="K778" s="28" t="n"/>
      <c r="L778" s="28" t="n"/>
      <c r="M778" s="28" t="n"/>
      <c r="N778" s="28" t="n"/>
    </row>
    <row r="779">
      <c r="J779" s="480" t="n"/>
      <c r="K779" s="28" t="n"/>
      <c r="L779" s="28" t="n"/>
      <c r="M779" s="28" t="n"/>
      <c r="N779" s="28" t="n"/>
    </row>
    <row r="780">
      <c r="J780" s="480" t="n"/>
      <c r="K780" s="28" t="n"/>
      <c r="L780" s="28" t="n"/>
      <c r="M780" s="28" t="n"/>
      <c r="N780" s="28" t="n"/>
    </row>
    <row r="781">
      <c r="J781" s="480" t="n"/>
      <c r="K781" s="28" t="n"/>
      <c r="L781" s="28" t="n"/>
      <c r="M781" s="28" t="n"/>
      <c r="N781" s="28" t="n"/>
    </row>
    <row r="782">
      <c r="J782" s="480" t="n"/>
      <c r="K782" s="28" t="n"/>
      <c r="L782" s="28" t="n"/>
      <c r="M782" s="28" t="n"/>
      <c r="N782" s="28" t="n"/>
    </row>
    <row r="783">
      <c r="J783" s="480" t="n"/>
      <c r="K783" s="28" t="n"/>
      <c r="L783" s="28" t="n"/>
      <c r="M783" s="28" t="n"/>
      <c r="N783" s="28" t="n"/>
    </row>
    <row r="784">
      <c r="J784" s="480" t="n"/>
      <c r="K784" s="28" t="n"/>
      <c r="L784" s="28" t="n"/>
      <c r="M784" s="28" t="n"/>
      <c r="N784" s="28" t="n"/>
    </row>
    <row r="785">
      <c r="J785" s="480" t="n"/>
      <c r="K785" s="28" t="n"/>
      <c r="L785" s="28" t="n"/>
      <c r="M785" s="28" t="n"/>
      <c r="N785" s="28" t="n"/>
    </row>
    <row r="786">
      <c r="J786" s="480" t="n"/>
      <c r="K786" s="28" t="n"/>
      <c r="L786" s="28" t="n"/>
      <c r="M786" s="28" t="n"/>
      <c r="N786" s="28" t="n"/>
    </row>
    <row r="787">
      <c r="J787" s="480" t="n"/>
      <c r="K787" s="28" t="n"/>
      <c r="L787" s="28" t="n"/>
      <c r="M787" s="28" t="n"/>
      <c r="N787" s="28" t="n"/>
    </row>
    <row r="788">
      <c r="J788" s="480" t="n"/>
      <c r="K788" s="28" t="n"/>
      <c r="L788" s="28" t="n"/>
      <c r="M788" s="28" t="n"/>
      <c r="N788" s="28" t="n"/>
    </row>
    <row r="789">
      <c r="J789" s="480" t="n"/>
      <c r="K789" s="28" t="n"/>
      <c r="L789" s="28" t="n"/>
      <c r="M789" s="28" t="n"/>
      <c r="N789" s="28" t="n"/>
    </row>
    <row r="790">
      <c r="J790" s="480" t="n"/>
      <c r="K790" s="28" t="n"/>
      <c r="L790" s="28" t="n"/>
      <c r="M790" s="28" t="n"/>
      <c r="N790" s="28" t="n"/>
    </row>
    <row r="791">
      <c r="J791" s="480" t="n"/>
      <c r="K791" s="28" t="n"/>
      <c r="L791" s="28" t="n"/>
      <c r="M791" s="28" t="n"/>
      <c r="N791" s="28" t="n"/>
    </row>
    <row r="792">
      <c r="J792" s="480" t="n"/>
      <c r="K792" s="28" t="n"/>
      <c r="L792" s="28" t="n"/>
      <c r="M792" s="28" t="n"/>
      <c r="N792" s="28" t="n"/>
    </row>
    <row r="793">
      <c r="J793" s="480" t="n"/>
      <c r="K793" s="28" t="n"/>
      <c r="L793" s="28" t="n"/>
      <c r="M793" s="28" t="n"/>
      <c r="N793" s="28" t="n"/>
    </row>
    <row r="794">
      <c r="J794" s="480" t="n"/>
      <c r="K794" s="28" t="n"/>
      <c r="L794" s="28" t="n"/>
      <c r="M794" s="28" t="n"/>
      <c r="N794" s="28" t="n"/>
    </row>
    <row r="795">
      <c r="J795" s="480" t="n"/>
      <c r="K795" s="28" t="n"/>
      <c r="L795" s="28" t="n"/>
      <c r="M795" s="28" t="n"/>
      <c r="N795" s="28" t="n"/>
    </row>
    <row r="796">
      <c r="J796" s="480" t="n"/>
      <c r="K796" s="28" t="n"/>
      <c r="L796" s="28" t="n"/>
      <c r="M796" s="28" t="n"/>
      <c r="N796" s="28" t="n"/>
    </row>
    <row r="797">
      <c r="J797" s="480" t="n"/>
      <c r="K797" s="28" t="n"/>
      <c r="L797" s="28" t="n"/>
      <c r="M797" s="28" t="n"/>
      <c r="N797" s="28" t="n"/>
    </row>
    <row r="798">
      <c r="J798" s="480" t="n"/>
      <c r="K798" s="28" t="n"/>
      <c r="L798" s="28" t="n"/>
      <c r="M798" s="28" t="n"/>
      <c r="N798" s="28" t="n"/>
    </row>
    <row r="799">
      <c r="J799" s="480" t="n"/>
      <c r="K799" s="28" t="n"/>
      <c r="L799" s="28" t="n"/>
      <c r="M799" s="28" t="n"/>
      <c r="N799" s="28" t="n"/>
    </row>
    <row r="800">
      <c r="J800" s="480" t="n"/>
      <c r="K800" s="28" t="n"/>
      <c r="L800" s="28" t="n"/>
      <c r="M800" s="28" t="n"/>
      <c r="N800" s="28" t="n"/>
    </row>
    <row r="801">
      <c r="J801" s="480" t="n"/>
      <c r="K801" s="28" t="n"/>
      <c r="L801" s="28" t="n"/>
      <c r="M801" s="28" t="n"/>
      <c r="N801" s="28" t="n"/>
    </row>
    <row r="802">
      <c r="J802" s="480" t="n"/>
      <c r="K802" s="28" t="n"/>
      <c r="L802" s="28" t="n"/>
      <c r="M802" s="28" t="n"/>
      <c r="N802" s="28" t="n"/>
    </row>
    <row r="803">
      <c r="J803" s="480" t="n"/>
      <c r="K803" s="28" t="n"/>
      <c r="L803" s="28" t="n"/>
      <c r="M803" s="28" t="n"/>
      <c r="N803" s="28" t="n"/>
    </row>
    <row r="804">
      <c r="J804" s="480" t="n"/>
      <c r="K804" s="28" t="n"/>
      <c r="L804" s="28" t="n"/>
      <c r="M804" s="28" t="n"/>
      <c r="N804" s="28" t="n"/>
    </row>
    <row r="805">
      <c r="J805" s="480" t="n"/>
      <c r="K805" s="28" t="n"/>
      <c r="L805" s="28" t="n"/>
      <c r="M805" s="28" t="n"/>
      <c r="N805" s="28" t="n"/>
    </row>
    <row r="806">
      <c r="J806" s="480" t="n"/>
      <c r="K806" s="28" t="n"/>
      <c r="L806" s="28" t="n"/>
      <c r="M806" s="28" t="n"/>
      <c r="N806" s="28" t="n"/>
    </row>
    <row r="807">
      <c r="J807" s="480" t="n"/>
      <c r="K807" s="28" t="n"/>
      <c r="L807" s="28" t="n"/>
      <c r="M807" s="28" t="n"/>
      <c r="N807" s="28" t="n"/>
    </row>
    <row r="808">
      <c r="J808" s="480" t="n"/>
      <c r="K808" s="28" t="n"/>
      <c r="L808" s="28" t="n"/>
      <c r="M808" s="28" t="n"/>
      <c r="N808" s="28" t="n"/>
    </row>
    <row r="809">
      <c r="J809" s="480" t="n"/>
      <c r="K809" s="28" t="n"/>
      <c r="L809" s="28" t="n"/>
      <c r="M809" s="28" t="n"/>
      <c r="N809" s="28" t="n"/>
    </row>
    <row r="810">
      <c r="J810" s="480" t="n"/>
      <c r="K810" s="28" t="n"/>
      <c r="L810" s="28" t="n"/>
      <c r="M810" s="28" t="n"/>
      <c r="N810" s="28" t="n"/>
    </row>
    <row r="811">
      <c r="J811" s="480" t="n"/>
      <c r="K811" s="28" t="n"/>
      <c r="L811" s="28" t="n"/>
      <c r="M811" s="28" t="n"/>
      <c r="N811" s="28" t="n"/>
    </row>
    <row r="812">
      <c r="J812" s="480" t="n"/>
      <c r="K812" s="28" t="n"/>
      <c r="L812" s="28" t="n"/>
      <c r="M812" s="28" t="n"/>
      <c r="N812" s="28" t="n"/>
    </row>
    <row r="813">
      <c r="J813" s="480" t="n"/>
      <c r="K813" s="28" t="n"/>
      <c r="L813" s="28" t="n"/>
      <c r="M813" s="28" t="n"/>
      <c r="N813" s="28" t="n"/>
    </row>
    <row r="814">
      <c r="J814" s="480" t="n"/>
      <c r="K814" s="28" t="n"/>
      <c r="L814" s="28" t="n"/>
      <c r="M814" s="28" t="n"/>
      <c r="N814" s="28" t="n"/>
    </row>
    <row r="815">
      <c r="J815" s="480" t="n"/>
      <c r="K815" s="28" t="n"/>
      <c r="L815" s="28" t="n"/>
      <c r="M815" s="28" t="n"/>
      <c r="N815" s="28" t="n"/>
    </row>
    <row r="816">
      <c r="J816" s="480" t="n"/>
      <c r="K816" s="28" t="n"/>
      <c r="L816" s="28" t="n"/>
      <c r="M816" s="28" t="n"/>
      <c r="N816" s="28" t="n"/>
    </row>
    <row r="817">
      <c r="J817" s="480" t="n"/>
      <c r="K817" s="28" t="n"/>
      <c r="L817" s="28" t="n"/>
      <c r="M817" s="28" t="n"/>
      <c r="N817" s="28" t="n"/>
    </row>
    <row r="818">
      <c r="J818" s="480" t="n"/>
      <c r="K818" s="28" t="n"/>
      <c r="L818" s="28" t="n"/>
      <c r="M818" s="28" t="n"/>
      <c r="N818" s="28" t="n"/>
    </row>
    <row r="819">
      <c r="J819" s="480" t="n"/>
      <c r="K819" s="28" t="n"/>
      <c r="L819" s="28" t="n"/>
      <c r="M819" s="28" t="n"/>
      <c r="N819" s="28" t="n"/>
    </row>
    <row r="820">
      <c r="J820" s="480" t="n"/>
      <c r="K820" s="28" t="n"/>
      <c r="L820" s="28" t="n"/>
      <c r="M820" s="28" t="n"/>
      <c r="N820" s="28" t="n"/>
    </row>
    <row r="821">
      <c r="I821" s="205" t="n"/>
      <c r="J821" s="485" t="n"/>
      <c r="K821" s="220" t="n"/>
      <c r="L821" s="220" t="n"/>
      <c r="M821" s="220" t="n"/>
      <c r="N821" s="2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21">
    <outlinePr summaryBelow="1" summaryRight="1"/>
    <pageSetUpPr/>
  </sheetPr>
  <dimension ref="A1:L26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1" sqref="I21"/>
    </sheetView>
  </sheetViews>
  <sheetFormatPr baseColWidth="10" defaultColWidth="8.83203125" defaultRowHeight="15"/>
  <cols>
    <col width="3" customWidth="1" style="348" min="1" max="1"/>
    <col width="55.33203125" customWidth="1" min="3" max="3"/>
    <col width="15" customWidth="1" min="4" max="4"/>
    <col width="21.6640625" customWidth="1" min="7" max="7"/>
    <col width="16" customWidth="1" min="8" max="8"/>
    <col width="17.1640625" customWidth="1" min="9" max="9"/>
    <col width="13.33203125" customWidth="1" min="10" max="10"/>
    <col width="18.33203125" customWidth="1" min="11" max="11"/>
  </cols>
  <sheetData>
    <row r="1" ht="12.75" customFormat="1" customHeight="1" s="348"/>
    <row r="2" ht="29.5" customHeight="1"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B3" s="17" t="n"/>
      <c r="C3" s="24" t="inlineStr">
        <is>
          <t>Demand per working day</t>
        </is>
      </c>
      <c r="D3" s="62" t="n">
        <v>4</v>
      </c>
      <c r="E3" s="24" t="inlineStr">
        <is>
          <t>units</t>
        </is>
      </c>
      <c r="F3" s="24" t="n"/>
      <c r="G3" s="438" t="n"/>
      <c r="H3" s="438" t="n"/>
      <c r="I3" s="438" t="n"/>
      <c r="J3" s="438" t="n"/>
      <c r="K3" s="438" t="n"/>
      <c r="L3" s="438" t="n"/>
    </row>
    <row r="4">
      <c r="B4" s="17" t="n"/>
      <c r="C4" s="24" t="inlineStr">
        <is>
          <t>Working days per year</t>
        </is>
      </c>
      <c r="D4" s="21" t="n">
        <v>240</v>
      </c>
      <c r="E4" s="24" t="inlineStr">
        <is>
          <t>days</t>
        </is>
      </c>
      <c r="F4" s="24" t="n"/>
      <c r="G4" s="438" t="n"/>
      <c r="H4" s="438" t="n"/>
      <c r="I4" s="438" t="n"/>
      <c r="J4" s="438" t="n"/>
      <c r="K4" s="438" t="n"/>
      <c r="L4" s="438" t="n"/>
    </row>
    <row r="5">
      <c r="B5" s="17" t="n"/>
      <c r="C5" s="24" t="inlineStr">
        <is>
          <t>Order costs per order</t>
        </is>
      </c>
      <c r="D5" s="62" t="n">
        <v>5</v>
      </c>
      <c r="E5" s="24" t="inlineStr">
        <is>
          <t>CHF</t>
        </is>
      </c>
      <c r="F5" s="24" t="n"/>
      <c r="G5" s="438" t="n"/>
      <c r="H5" s="471" t="n"/>
      <c r="I5" s="221" t="n"/>
      <c r="J5" s="221" t="n"/>
      <c r="K5" s="221" t="n"/>
      <c r="L5" s="438" t="n"/>
    </row>
    <row r="6">
      <c r="B6" s="17" t="n"/>
      <c r="C6" s="24" t="inlineStr">
        <is>
          <t>Inventory costs per unit and year</t>
        </is>
      </c>
      <c r="D6" s="62" t="n">
        <v>12</v>
      </c>
      <c r="E6" s="24" t="inlineStr">
        <is>
          <t>CHF</t>
        </is>
      </c>
      <c r="F6" s="24" t="n"/>
      <c r="G6" s="438" t="n"/>
      <c r="H6" s="471" t="n"/>
      <c r="I6" s="221" t="n"/>
      <c r="J6" s="221" t="n"/>
      <c r="K6" s="221" t="n"/>
      <c r="L6" s="221" t="n"/>
    </row>
    <row r="7">
      <c r="B7" s="17" t="n"/>
      <c r="C7" s="24" t="inlineStr">
        <is>
          <t>Lead time</t>
        </is>
      </c>
      <c r="D7" s="21" t="n">
        <v>4</v>
      </c>
      <c r="E7" s="24" t="inlineStr">
        <is>
          <t>weeks</t>
        </is>
      </c>
      <c r="F7" s="222" t="n"/>
      <c r="G7" s="438" t="n"/>
      <c r="H7" s="471" t="n"/>
      <c r="I7" s="221" t="n"/>
      <c r="J7" s="221" t="n"/>
      <c r="K7" s="221" t="n"/>
      <c r="L7" s="221" t="n"/>
    </row>
    <row r="8">
      <c r="B8" s="17" t="n"/>
      <c r="C8" s="17" t="inlineStr">
        <is>
          <t>Stockout costs per stockout</t>
        </is>
      </c>
      <c r="D8" s="365" t="n">
        <v>30</v>
      </c>
      <c r="E8" s="17" t="inlineStr">
        <is>
          <t>CHF</t>
        </is>
      </c>
      <c r="F8" s="222" t="n"/>
      <c r="G8" s="438" t="n"/>
      <c r="H8" s="471" t="n"/>
      <c r="I8" s="221" t="n"/>
      <c r="J8" s="221" t="n"/>
      <c r="K8" s="221" t="n"/>
      <c r="L8" s="221" t="n"/>
    </row>
    <row r="9">
      <c r="B9" s="17" t="n"/>
      <c r="C9" s="24" t="inlineStr">
        <is>
          <t>Optimum order quantity</t>
        </is>
      </c>
      <c r="D9" s="25" t="n"/>
      <c r="E9" s="24" t="inlineStr">
        <is>
          <t>units</t>
        </is>
      </c>
      <c r="F9" s="24" t="n"/>
      <c r="G9" s="438" t="n"/>
      <c r="H9" s="471" t="n"/>
      <c r="I9" s="221" t="n"/>
      <c r="J9" s="221" t="n"/>
      <c r="K9" s="221" t="n"/>
      <c r="L9" s="221" t="n"/>
    </row>
    <row r="10">
      <c r="B10" s="17" t="n"/>
      <c r="C10" s="24" t="inlineStr">
        <is>
          <t>Number of orders per year</t>
        </is>
      </c>
      <c r="D10" s="25" t="n"/>
      <c r="E10" s="24" t="inlineStr">
        <is>
          <t>orders</t>
        </is>
      </c>
      <c r="F10" s="24" t="n"/>
      <c r="G10" s="438" t="n"/>
      <c r="H10" s="471" t="n"/>
      <c r="I10" s="221" t="n"/>
      <c r="J10" s="221" t="n"/>
      <c r="K10" s="221" t="n"/>
      <c r="L10" s="221" t="n"/>
    </row>
    <row r="11">
      <c r="B11" s="17" t="n"/>
      <c r="C11" s="24" t="n"/>
      <c r="D11" s="223" t="n"/>
      <c r="E11" s="24" t="n"/>
      <c r="F11" s="24" t="n"/>
      <c r="G11" s="438" t="n"/>
      <c r="H11" s="471" t="n"/>
      <c r="I11" s="221" t="n"/>
      <c r="J11" s="221" t="n"/>
      <c r="K11" s="221" t="n"/>
      <c r="L11" s="221" t="n"/>
    </row>
    <row r="12">
      <c r="B12" s="17" t="n"/>
      <c r="C12" s="24" t="n"/>
      <c r="D12" s="24" t="n"/>
      <c r="E12" s="24" t="n"/>
      <c r="F12" s="24" t="n"/>
      <c r="G12" s="438" t="n"/>
      <c r="H12" s="471" t="n"/>
      <c r="I12" s="221" t="n"/>
      <c r="J12" s="221" t="n"/>
      <c r="K12" s="221" t="n"/>
      <c r="L12" s="221" t="n"/>
    </row>
    <row r="13">
      <c r="B13" s="17" t="n"/>
      <c r="C13" s="438" t="n"/>
      <c r="D13" s="438" t="n"/>
      <c r="I13" s="439" t="n"/>
      <c r="J13" s="439" t="n"/>
      <c r="K13" s="221" t="n"/>
      <c r="L13" s="221" t="n"/>
    </row>
    <row r="14">
      <c r="B14" s="17" t="n"/>
      <c r="C14" s="438" t="inlineStr">
        <is>
          <t>Possible ROP</t>
        </is>
      </c>
      <c r="D14" s="438" t="inlineStr">
        <is>
          <t>Possible demand during lead time</t>
        </is>
      </c>
      <c r="I14" s="439" t="inlineStr">
        <is>
          <t>Average additional</t>
        </is>
      </c>
      <c r="J14" s="439" t="n"/>
      <c r="K14" s="221" t="n"/>
      <c r="L14" s="221" t="n"/>
    </row>
    <row r="15">
      <c r="B15" s="17" t="n"/>
      <c r="C15" s="7" t="inlineStr">
        <is>
          <t>incl. safety stock</t>
        </is>
      </c>
      <c r="D15" s="7" t="n">
        <v>10</v>
      </c>
      <c r="E15" s="7" t="n">
        <v>20</v>
      </c>
      <c r="F15" s="7" t="n">
        <v>30</v>
      </c>
      <c r="G15" s="7" t="n">
        <v>40</v>
      </c>
      <c r="H15" s="7" t="n">
        <v>50</v>
      </c>
      <c r="I15" s="440" t="inlineStr">
        <is>
          <t>costs in CHF</t>
        </is>
      </c>
      <c r="J15" s="439" t="n"/>
      <c r="K15" s="221" t="n"/>
      <c r="L15" s="221" t="n"/>
    </row>
    <row r="16">
      <c r="B16" s="17" t="n"/>
      <c r="C16" s="221" t="n">
        <v>0</v>
      </c>
      <c r="D16" s="224" t="n"/>
      <c r="E16" s="224" t="n"/>
      <c r="F16" s="224" t="n"/>
      <c r="G16" s="224" t="n"/>
      <c r="H16" s="224" t="n"/>
      <c r="I16" s="224" t="n"/>
      <c r="J16" s="30" t="n"/>
      <c r="K16" s="221" t="n"/>
      <c r="L16" s="221" t="n"/>
    </row>
    <row r="17">
      <c r="B17" s="17" t="n"/>
      <c r="C17" s="221" t="n">
        <v>10</v>
      </c>
      <c r="D17" s="224" t="n"/>
      <c r="E17" s="224" t="n"/>
      <c r="F17" s="224" t="n"/>
      <c r="G17" s="224" t="n"/>
      <c r="H17" s="224" t="n"/>
      <c r="I17" s="224" t="n"/>
      <c r="J17" s="225" t="n"/>
      <c r="K17" s="221" t="n"/>
      <c r="L17" s="221" t="n"/>
    </row>
    <row r="18">
      <c r="B18" s="17" t="n"/>
      <c r="C18" s="221" t="n">
        <v>20</v>
      </c>
      <c r="D18" s="224" t="n"/>
      <c r="E18" s="224" t="n"/>
      <c r="F18" s="224" t="n"/>
      <c r="G18" s="224" t="n"/>
      <c r="H18" s="224" t="n"/>
      <c r="I18" s="224" t="n"/>
      <c r="J18" s="225" t="n"/>
      <c r="K18" s="221" t="n"/>
      <c r="L18" s="221" t="n"/>
    </row>
    <row r="19">
      <c r="B19" s="17" t="n"/>
      <c r="C19" s="221" t="n">
        <v>30</v>
      </c>
      <c r="D19" s="224" t="n"/>
      <c r="E19" s="224" t="n"/>
      <c r="F19" s="224" t="n"/>
      <c r="G19" s="224" t="n"/>
      <c r="H19" s="224" t="n"/>
      <c r="I19" s="224" t="n"/>
      <c r="J19" s="225" t="n"/>
      <c r="K19" s="221" t="n"/>
      <c r="L19" s="221" t="n"/>
    </row>
    <row r="20">
      <c r="B20" s="17" t="n"/>
      <c r="C20" s="221" t="n">
        <v>40</v>
      </c>
      <c r="D20" s="224" t="n"/>
      <c r="E20" s="224" t="n"/>
      <c r="F20" s="224" t="n"/>
      <c r="G20" s="224" t="n"/>
      <c r="H20" s="224" t="n"/>
      <c r="I20" s="224" t="n"/>
      <c r="J20" s="225" t="n"/>
      <c r="K20" s="471" t="n"/>
      <c r="L20" s="221" t="n"/>
    </row>
    <row r="21">
      <c r="B21" s="17" t="n"/>
      <c r="C21" s="422" t="n"/>
      <c r="D21" s="224" t="n"/>
      <c r="E21" s="224" t="n"/>
      <c r="F21" s="224" t="n"/>
      <c r="G21" s="224" t="n"/>
      <c r="H21" s="224" t="n"/>
      <c r="I21" s="224" t="n"/>
      <c r="J21" s="30" t="n"/>
      <c r="K21" s="1" t="n"/>
      <c r="L21" s="1" t="n"/>
    </row>
    <row r="22">
      <c r="B22" s="17" t="n"/>
      <c r="C22" s="368" t="n">
        <v>60</v>
      </c>
      <c r="D22" s="224" t="n"/>
      <c r="E22" s="224" t="n"/>
      <c r="F22" s="224" t="n"/>
      <c r="G22" s="224" t="n"/>
      <c r="H22" s="224" t="n"/>
      <c r="I22" s="224" t="n"/>
      <c r="J22" s="225" t="n"/>
    </row>
    <row r="23">
      <c r="B23" s="17" t="n"/>
      <c r="C23" s="439" t="n"/>
      <c r="D23" s="439" t="n">
        <v>0.15</v>
      </c>
      <c r="E23" s="439" t="n">
        <v>0.3</v>
      </c>
      <c r="F23" s="475" t="n">
        <v>0.4</v>
      </c>
      <c r="G23" s="439" t="n">
        <v>0.1</v>
      </c>
      <c r="H23" s="439" t="n">
        <v>0.05</v>
      </c>
      <c r="I23" s="439" t="n"/>
      <c r="J23" s="17" t="n"/>
    </row>
    <row r="24"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</row>
    <row r="25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</row>
    <row r="26">
      <c r="J26" s="17" t="n"/>
    </row>
  </sheetData>
  <mergeCells count="2">
    <mergeCell ref="D14:H14"/>
    <mergeCell ref="D13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23">
    <outlinePr summaryBelow="1" summaryRight="1"/>
    <pageSetUpPr fitToPage="1"/>
  </sheetPr>
  <dimension ref="A1:H16"/>
  <sheetViews>
    <sheetView showGridLines="0" zoomScale="110" zoomScaleNormal="140" zoomScalePageLayoutView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baseColWidth="10" defaultColWidth="14" defaultRowHeight="15"/>
  <cols>
    <col width="2.83203125" customWidth="1" style="348" min="1" max="1"/>
    <col width="5.6640625" customWidth="1" min="2" max="2"/>
    <col width="23.33203125" customWidth="1" min="4" max="4"/>
    <col width="21" customWidth="1" min="5" max="5"/>
    <col width="12" customWidth="1" min="6" max="6"/>
  </cols>
  <sheetData>
    <row r="1" ht="13.25" customFormat="1" customHeight="1" s="348"/>
    <row r="2" ht="22.25" customHeight="1">
      <c r="B2" s="17" t="n"/>
      <c r="C2" s="17" t="n"/>
      <c r="D2" s="17" t="n"/>
      <c r="E2" s="17" t="n"/>
      <c r="F2" s="17" t="n"/>
      <c r="G2" s="17" t="n"/>
      <c r="H2" s="17" t="n"/>
    </row>
    <row r="3">
      <c r="B3" s="17" t="n"/>
      <c r="C3" s="17" t="inlineStr">
        <is>
          <t>Average demand during lead time in units</t>
        </is>
      </c>
      <c r="D3" s="17" t="n"/>
      <c r="E3" s="17" t="n"/>
      <c r="F3" s="17" t="n">
        <v>200</v>
      </c>
      <c r="G3" s="17" t="inlineStr">
        <is>
          <t>units</t>
        </is>
      </c>
      <c r="H3" s="17" t="n"/>
    </row>
    <row r="4">
      <c r="B4" s="17" t="n"/>
      <c r="C4" s="17" t="inlineStr">
        <is>
          <t>Standard deviation of demand during lead time in units</t>
        </is>
      </c>
      <c r="D4" s="17" t="n"/>
      <c r="E4" s="17" t="n"/>
      <c r="F4" s="17" t="n">
        <v>25</v>
      </c>
      <c r="G4" s="17" t="inlineStr">
        <is>
          <t>units</t>
        </is>
      </c>
      <c r="H4" s="17" t="n"/>
    </row>
    <row r="5">
      <c r="B5" s="17" t="n"/>
      <c r="C5" s="17" t="inlineStr">
        <is>
          <t>Holding costs per unit and lead time</t>
        </is>
      </c>
      <c r="D5" s="17" t="n"/>
      <c r="E5" s="17" t="n"/>
      <c r="F5" s="17" t="n">
        <v>20</v>
      </c>
      <c r="G5" s="17" t="inlineStr">
        <is>
          <t>CHF</t>
        </is>
      </c>
      <c r="H5" s="17" t="n"/>
    </row>
    <row r="6">
      <c r="B6" s="17" t="n"/>
      <c r="C6" s="115" t="n"/>
      <c r="D6" s="115" t="n"/>
      <c r="E6" s="115" t="n"/>
      <c r="F6" s="115" t="n"/>
      <c r="G6" s="17" t="n"/>
      <c r="H6" s="17" t="n"/>
    </row>
    <row r="7">
      <c r="B7" s="17" t="n"/>
      <c r="C7" s="439" t="n"/>
      <c r="D7" s="17" t="n"/>
      <c r="E7" s="17" t="n"/>
      <c r="F7" s="439" t="n"/>
      <c r="G7" s="17" t="n"/>
      <c r="H7" s="17" t="n"/>
    </row>
    <row r="8">
      <c r="B8" s="17" t="n"/>
      <c r="C8" s="371" t="inlineStr">
        <is>
          <t>Service</t>
        </is>
      </c>
      <c r="D8" s="439" t="inlineStr">
        <is>
          <t>Optimal</t>
        </is>
      </c>
      <c r="E8" s="439" t="n"/>
      <c r="F8" s="439" t="n"/>
      <c r="G8" s="17" t="n"/>
      <c r="H8" s="17" t="n"/>
    </row>
    <row r="9">
      <c r="B9" s="17" t="n"/>
      <c r="C9" s="372" t="inlineStr">
        <is>
          <t>level</t>
        </is>
      </c>
      <c r="D9" s="440" t="inlineStr">
        <is>
          <t>order quantity</t>
        </is>
      </c>
      <c r="E9" s="440" t="inlineStr">
        <is>
          <t>Safety stock</t>
        </is>
      </c>
      <c r="F9" s="440" t="inlineStr">
        <is>
          <t>Holding costs</t>
        </is>
      </c>
      <c r="G9" s="17" t="n"/>
      <c r="H9" s="17" t="n"/>
    </row>
    <row r="10">
      <c r="B10" s="17" t="n"/>
      <c r="C10" s="369" t="n">
        <v>0.99</v>
      </c>
      <c r="D10" s="25" t="n"/>
      <c r="E10" s="25" t="n"/>
      <c r="F10" s="25" t="n"/>
      <c r="G10" s="17" t="n"/>
      <c r="H10" s="17" t="n"/>
    </row>
    <row r="11">
      <c r="B11" s="17" t="n"/>
      <c r="C11" s="370" t="n">
        <v>0.999</v>
      </c>
      <c r="D11" s="25" t="n"/>
      <c r="E11" s="25" t="n"/>
      <c r="F11" s="25" t="n"/>
      <c r="G11" s="17" t="n"/>
      <c r="H11" s="17" t="n"/>
    </row>
    <row r="12">
      <c r="B12" s="17" t="n"/>
      <c r="C12" s="439" t="n"/>
      <c r="D12" s="439" t="n"/>
      <c r="E12" s="439" t="n"/>
      <c r="F12" s="439" t="n"/>
      <c r="G12" s="17" t="n"/>
      <c r="H12" s="17" t="n"/>
    </row>
    <row r="13">
      <c r="B13" s="17" t="n"/>
      <c r="C13" s="17" t="inlineStr">
        <is>
          <t>Increase of the holding costs (when increasing Service Levels from 99% to 99.9%)</t>
        </is>
      </c>
      <c r="D13" s="17" t="n"/>
      <c r="E13" s="17" t="n"/>
      <c r="F13" s="17" t="n"/>
      <c r="G13" s="17" t="n"/>
      <c r="H13" s="17" t="n"/>
    </row>
    <row r="14">
      <c r="B14" s="17" t="n"/>
      <c r="C14" s="17" t="inlineStr">
        <is>
          <t>In CHF:</t>
        </is>
      </c>
      <c r="D14" s="418" t="n"/>
      <c r="E14" s="17" t="n"/>
      <c r="F14" s="17" t="n"/>
      <c r="G14" s="17" t="n"/>
      <c r="H14" s="17" t="n"/>
    </row>
    <row r="15">
      <c r="B15" s="17" t="n"/>
      <c r="C15" s="17" t="n"/>
      <c r="D15" s="17" t="n"/>
      <c r="E15" s="17" t="n"/>
      <c r="F15" s="17" t="n"/>
      <c r="G15" s="17" t="n"/>
      <c r="H15" s="17" t="n"/>
    </row>
    <row r="16">
      <c r="B16" s="17" t="n"/>
      <c r="C16" s="17" t="n"/>
      <c r="D16" s="17" t="n"/>
      <c r="E16" s="17" t="n"/>
      <c r="F16" s="17" t="n"/>
      <c r="G16" s="17" t="n"/>
      <c r="H16" s="17" t="n"/>
    </row>
  </sheetData>
  <pageMargins left="0.7" right="0.7" top="0.75" bottom="0.75" header="0.3" footer="0.3"/>
  <pageSetup orientation="landscape" paperSize="9" scale="87"/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V4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ColWidth="7.83203125" defaultRowHeight="16"/>
  <cols>
    <col width="2.83203125" customWidth="1" style="354" min="1" max="1"/>
    <col width="23.1640625" customWidth="1" style="63" min="2" max="2"/>
    <col width="18.33203125" customWidth="1" style="63" min="3" max="3"/>
    <col width="23.1640625" customWidth="1" style="63" min="4" max="4"/>
    <col width="13.6640625" customWidth="1" style="63" min="5" max="6"/>
    <col width="15" customWidth="1" style="63" min="7" max="7"/>
    <col width="13.6640625" customWidth="1" style="63" min="8" max="19"/>
    <col width="7.83203125" customWidth="1" style="63" min="20" max="16384"/>
  </cols>
  <sheetData>
    <row r="1" customFormat="1" s="354">
      <c r="A1" s="348" t="n"/>
      <c r="B1" s="348" t="n"/>
      <c r="C1" s="348" t="n"/>
      <c r="D1" s="348" t="n"/>
      <c r="E1" s="348" t="n"/>
      <c r="F1" s="348" t="n"/>
      <c r="G1" s="348" t="n"/>
      <c r="H1" s="348" t="n"/>
      <c r="I1" s="348" t="n"/>
      <c r="J1" s="348" t="n"/>
      <c r="K1" s="348" t="n"/>
      <c r="L1" s="351" t="n"/>
      <c r="M1" s="351" t="n"/>
      <c r="N1" s="350" t="n"/>
      <c r="O1" s="350" t="n"/>
      <c r="P1" s="350" t="n"/>
      <c r="Q1" s="350" t="n"/>
      <c r="R1" s="350" t="n"/>
      <c r="S1" s="350" t="n"/>
      <c r="T1" s="350" t="n"/>
      <c r="U1" s="350" t="n"/>
      <c r="V1" s="350" t="n"/>
    </row>
    <row r="2">
      <c r="A2" s="348" t="n"/>
      <c r="B2" s="17" t="n"/>
      <c r="C2" s="91" t="n"/>
      <c r="D2" s="17" t="n"/>
      <c r="E2" s="17" t="n"/>
      <c r="F2" s="17" t="n"/>
      <c r="G2" s="17" t="n"/>
      <c r="H2" s="17" t="n"/>
      <c r="I2" s="17" t="n"/>
      <c r="J2" s="17" t="n"/>
      <c r="K2" s="17" t="n"/>
      <c r="L2" s="6" t="n"/>
      <c r="M2" s="6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348" t="n"/>
      <c r="B3" s="17" t="n"/>
      <c r="C3" s="91" t="inlineStr">
        <is>
          <t>Multi-level BOM list for one food processor XFG-24 consisting of 4 components</t>
        </is>
      </c>
      <c r="D3" s="17" t="n"/>
      <c r="E3" s="17" t="n"/>
      <c r="F3" s="17" t="n"/>
      <c r="G3" s="17" t="n"/>
      <c r="H3" s="17" t="n"/>
      <c r="I3" s="17" t="n"/>
      <c r="J3" s="17" t="n"/>
      <c r="K3" s="17" t="n"/>
      <c r="M3" s="6" t="n"/>
      <c r="N3" s="373" t="n"/>
      <c r="O3" s="5" t="n"/>
      <c r="P3" s="5" t="n"/>
      <c r="Q3" s="5" t="n"/>
      <c r="R3" s="5" t="n"/>
      <c r="S3" s="5" t="n"/>
      <c r="T3" s="5" t="n"/>
      <c r="U3" s="5" t="n"/>
      <c r="V3" s="5" t="n"/>
    </row>
    <row r="4" ht="32" customHeight="1">
      <c r="A4" s="348" t="n"/>
      <c r="B4" s="17" t="n"/>
      <c r="C4" s="440" t="inlineStr">
        <is>
          <t>Level</t>
        </is>
      </c>
      <c r="D4" s="486" t="n"/>
      <c r="E4" s="486" t="n"/>
      <c r="F4" s="440" t="inlineStr">
        <is>
          <t>Part</t>
        </is>
      </c>
      <c r="G4" s="96" t="inlineStr">
        <is>
          <t>Level quantity (parts per level)</t>
        </is>
      </c>
      <c r="H4" s="96" t="inlineStr">
        <is>
          <t>Total quantity</t>
        </is>
      </c>
      <c r="I4" s="96" t="inlineStr">
        <is>
          <t>Price per unit</t>
        </is>
      </c>
      <c r="J4" s="96" t="inlineStr">
        <is>
          <t>Costs (for total quantity)</t>
        </is>
      </c>
      <c r="K4" s="17" t="n"/>
      <c r="M4" s="6" t="n"/>
      <c r="N4" s="373" t="n"/>
      <c r="O4" s="5" t="n"/>
      <c r="P4" s="5" t="n"/>
      <c r="Q4" s="5" t="n"/>
      <c r="R4" s="5" t="n"/>
      <c r="S4" s="5" t="n"/>
      <c r="T4" s="5" t="n"/>
      <c r="U4" s="5" t="n"/>
      <c r="V4" s="5" t="n"/>
    </row>
    <row r="5">
      <c r="A5" s="348" t="n"/>
      <c r="B5" s="17" t="n"/>
      <c r="C5" s="439" t="n">
        <v>1</v>
      </c>
      <c r="D5" s="439" t="n"/>
      <c r="E5" s="439" t="n"/>
      <c r="F5" s="439" t="inlineStr">
        <is>
          <t>XSW-23</t>
        </is>
      </c>
      <c r="G5" s="439" t="n">
        <v>2</v>
      </c>
      <c r="H5" s="86" t="n"/>
      <c r="I5" s="439" t="n">
        <v>93.31999999999999</v>
      </c>
      <c r="J5" s="86" t="n"/>
      <c r="K5" s="17" t="n"/>
      <c r="M5" s="6" t="n"/>
      <c r="N5" s="373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348" t="n"/>
      <c r="B6" s="17" t="n"/>
      <c r="C6" s="439" t="n"/>
      <c r="D6" s="439" t="n">
        <v>2</v>
      </c>
      <c r="E6" s="439" t="n"/>
      <c r="F6" s="439" t="inlineStr">
        <is>
          <t>ABH-593</t>
        </is>
      </c>
      <c r="G6" s="439" t="n">
        <v>6</v>
      </c>
      <c r="H6" s="86" t="n"/>
      <c r="I6" s="439" t="n">
        <v>42.62</v>
      </c>
      <c r="J6" s="86" t="n"/>
      <c r="K6" s="17" t="n"/>
      <c r="M6" s="6" t="n"/>
      <c r="N6" s="373" t="n"/>
      <c r="O6" s="5" t="n"/>
      <c r="P6" s="5" t="n"/>
      <c r="Q6" s="5" t="n"/>
      <c r="R6" s="5" t="n"/>
      <c r="S6" s="5" t="n"/>
      <c r="T6" s="5" t="n"/>
      <c r="U6" s="5" t="n"/>
      <c r="V6" s="5" t="n"/>
    </row>
    <row r="7">
      <c r="A7" s="348" t="n"/>
      <c r="B7" s="17" t="n"/>
      <c r="C7" s="439" t="n"/>
      <c r="D7" s="439" t="n"/>
      <c r="E7" s="439" t="n">
        <v>3</v>
      </c>
      <c r="F7" s="439" t="inlineStr">
        <is>
          <t>DLS-422</t>
        </is>
      </c>
      <c r="G7" s="439" t="n">
        <v>4</v>
      </c>
      <c r="H7" s="86" t="n"/>
      <c r="I7" s="439" t="n">
        <v>26.37</v>
      </c>
      <c r="J7" s="86" t="n"/>
      <c r="K7" s="17" t="n"/>
      <c r="L7" s="6" t="n"/>
      <c r="M7" s="6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348" t="n"/>
      <c r="B8" s="17" t="n"/>
      <c r="C8" s="439" t="n"/>
      <c r="D8" s="439" t="n"/>
      <c r="E8" s="439" t="n">
        <v>3</v>
      </c>
      <c r="F8" s="439" t="inlineStr">
        <is>
          <t>DIF-039</t>
        </is>
      </c>
      <c r="G8" s="439" t="n">
        <v>12</v>
      </c>
      <c r="H8" s="86" t="n"/>
      <c r="I8" s="439" t="n">
        <v>5.23</v>
      </c>
      <c r="J8" s="86" t="n"/>
      <c r="K8" s="17" t="n"/>
      <c r="L8" s="374" t="n"/>
      <c r="M8" s="6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</row>
    <row r="9">
      <c r="A9" s="348" t="n"/>
      <c r="B9" s="17" t="n"/>
      <c r="C9" s="439" t="n"/>
      <c r="D9" s="439" t="n">
        <v>2</v>
      </c>
      <c r="E9" s="439" t="n"/>
      <c r="F9" s="439" t="inlineStr">
        <is>
          <t>FJK-922</t>
        </is>
      </c>
      <c r="G9" s="439" t="n">
        <v>6</v>
      </c>
      <c r="H9" s="86" t="n"/>
      <c r="I9" s="439" t="n">
        <v>12.75</v>
      </c>
      <c r="J9" s="86" t="n"/>
      <c r="K9" s="17" t="n"/>
      <c r="M9" s="6" t="n"/>
      <c r="N9" s="373" t="n"/>
      <c r="O9" s="5" t="n"/>
      <c r="P9" s="5" t="n"/>
      <c r="Q9" s="5" t="n"/>
      <c r="R9" s="5" t="n"/>
      <c r="S9" s="5" t="n"/>
      <c r="T9" s="5" t="n"/>
      <c r="U9" s="5" t="n"/>
      <c r="V9" s="5" t="n"/>
    </row>
    <row r="10">
      <c r="A10" s="348" t="n"/>
      <c r="B10" s="17" t="n"/>
      <c r="C10" s="439" t="n"/>
      <c r="D10" s="439" t="n">
        <v>2</v>
      </c>
      <c r="E10" s="439" t="n"/>
      <c r="F10" s="439" t="inlineStr">
        <is>
          <t>FJS-372</t>
        </is>
      </c>
      <c r="G10" s="439" t="n">
        <v>2</v>
      </c>
      <c r="H10" s="86" t="n"/>
      <c r="I10" s="439" t="n">
        <v>6.21</v>
      </c>
      <c r="J10" s="86" t="n"/>
      <c r="K10" s="17" t="n"/>
      <c r="M10" s="6" t="n"/>
      <c r="N10" s="373" t="n"/>
      <c r="O10" s="5" t="n"/>
      <c r="P10" s="5" t="n"/>
      <c r="Q10" s="5" t="n"/>
      <c r="R10" s="5" t="n"/>
      <c r="S10" s="5" t="n"/>
      <c r="T10" s="5" t="n"/>
      <c r="U10" s="5" t="n"/>
      <c r="V10" s="5" t="n"/>
    </row>
    <row r="11">
      <c r="A11" s="348" t="n"/>
      <c r="B11" s="17" t="n"/>
      <c r="C11" s="93" t="n">
        <v>1</v>
      </c>
      <c r="D11" s="93" t="n"/>
      <c r="E11" s="93" t="n"/>
      <c r="F11" s="93" t="inlineStr">
        <is>
          <t>FUI-111</t>
        </is>
      </c>
      <c r="G11" s="93" t="n">
        <v>3</v>
      </c>
      <c r="H11" s="94" t="n"/>
      <c r="I11" s="93" t="n">
        <v>26.64</v>
      </c>
      <c r="J11" s="86" t="n"/>
      <c r="K11" s="17" t="n"/>
      <c r="M11" s="6" t="n"/>
      <c r="N11" s="373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348" t="n"/>
      <c r="B12" s="17" t="n"/>
      <c r="C12" s="439" t="n">
        <v>1</v>
      </c>
      <c r="D12" s="439" t="n"/>
      <c r="E12" s="439" t="n"/>
      <c r="F12" s="439" t="inlineStr">
        <is>
          <t>GIU-302</t>
        </is>
      </c>
      <c r="G12" s="439" t="n">
        <v>6</v>
      </c>
      <c r="H12" s="86" t="n"/>
      <c r="I12" s="439" t="n">
        <v>73.23999999999999</v>
      </c>
      <c r="J12" s="86" t="n"/>
      <c r="K12" s="17" t="n"/>
      <c r="M12" s="6" t="n"/>
      <c r="N12" s="373" t="n"/>
      <c r="O12" s="5" t="n"/>
      <c r="P12" s="5" t="n"/>
      <c r="Q12" s="5" t="n"/>
      <c r="R12" s="5" t="n"/>
      <c r="S12" s="5" t="n"/>
      <c r="T12" s="5" t="n"/>
      <c r="U12" s="5" t="n"/>
      <c r="V12" s="5" t="n"/>
    </row>
    <row r="13">
      <c r="A13" s="348" t="n"/>
      <c r="B13" s="17" t="n"/>
      <c r="C13" s="439" t="n"/>
      <c r="D13" s="439" t="n">
        <v>2</v>
      </c>
      <c r="E13" s="439" t="n"/>
      <c r="F13" s="439" t="inlineStr">
        <is>
          <t>WOL-320</t>
        </is>
      </c>
      <c r="G13" s="439" t="n">
        <v>13</v>
      </c>
      <c r="H13" s="86" t="n"/>
      <c r="I13" s="439" t="n">
        <v>25.12</v>
      </c>
      <c r="J13" s="86" t="n"/>
      <c r="K13" s="17" t="n"/>
      <c r="M13" s="6" t="n"/>
      <c r="N13" s="373" t="n"/>
      <c r="O13" s="5" t="n"/>
      <c r="P13" s="5" t="n"/>
      <c r="Q13" s="5" t="n"/>
      <c r="R13" s="5" t="n"/>
      <c r="S13" s="5" t="n"/>
      <c r="T13" s="5" t="n"/>
      <c r="U13" s="5" t="n"/>
      <c r="V13" s="5" t="n"/>
    </row>
    <row r="14">
      <c r="A14" s="348" t="n"/>
      <c r="B14" s="17" t="n"/>
      <c r="C14" s="440" t="n"/>
      <c r="D14" s="440" t="n"/>
      <c r="E14" s="440" t="n">
        <v>3</v>
      </c>
      <c r="F14" s="440" t="inlineStr">
        <is>
          <t>QLJ-289</t>
        </is>
      </c>
      <c r="G14" s="440" t="n">
        <v>4</v>
      </c>
      <c r="H14" s="95" t="n"/>
      <c r="I14" s="440" t="n">
        <v>7.57</v>
      </c>
      <c r="J14" s="86" t="n"/>
      <c r="K14" s="17" t="n"/>
      <c r="M14" s="6" t="n"/>
      <c r="N14" s="373" t="n"/>
      <c r="O14" s="5" t="n"/>
      <c r="P14" s="5" t="n"/>
      <c r="Q14" s="5" t="n"/>
      <c r="R14" s="5" t="n"/>
      <c r="S14" s="5" t="n"/>
      <c r="T14" s="5" t="n"/>
      <c r="U14" s="5" t="n"/>
      <c r="V14" s="5" t="n"/>
    </row>
    <row r="15">
      <c r="A15" s="348" t="n"/>
      <c r="B15" s="17" t="n"/>
      <c r="C15" s="439" t="n">
        <v>1</v>
      </c>
      <c r="D15" s="439" t="n"/>
      <c r="E15" s="439" t="n"/>
      <c r="F15" s="439" t="inlineStr">
        <is>
          <t>PIO-493</t>
        </is>
      </c>
      <c r="G15" s="439" t="n">
        <v>9</v>
      </c>
      <c r="H15" s="86" t="n"/>
      <c r="I15" s="439" t="n">
        <v>23.42</v>
      </c>
      <c r="J15" s="86" t="n"/>
      <c r="K15" s="17" t="n"/>
      <c r="M15" s="6" t="n"/>
      <c r="N15" s="373" t="n"/>
      <c r="O15" s="5" t="n"/>
      <c r="P15" s="5" t="n"/>
      <c r="Q15" s="5" t="n"/>
      <c r="R15" s="5" t="n"/>
      <c r="S15" s="5" t="n"/>
      <c r="T15" s="5" t="n"/>
      <c r="U15" s="5" t="n"/>
      <c r="V15" s="5" t="n"/>
    </row>
    <row r="16">
      <c r="A16" s="348" t="n"/>
      <c r="B16" s="17" t="n"/>
      <c r="C16" s="440" t="n"/>
      <c r="D16" s="440" t="n">
        <v>2</v>
      </c>
      <c r="E16" s="440" t="n"/>
      <c r="F16" s="440" t="inlineStr">
        <is>
          <t>VBO-283</t>
        </is>
      </c>
      <c r="G16" s="440" t="n">
        <v>5</v>
      </c>
      <c r="H16" s="95" t="n"/>
      <c r="I16" s="440" t="n">
        <v>6.37</v>
      </c>
      <c r="J16" s="86" t="n"/>
      <c r="K16" s="17" t="n"/>
      <c r="M16" s="6" t="n"/>
      <c r="N16" s="373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>
      <c r="A17" s="348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6" t="n"/>
      <c r="M17" s="6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348" t="n"/>
      <c r="B18" s="1" t="n"/>
      <c r="C18" s="438" t="n"/>
      <c r="D18" s="438" t="n"/>
      <c r="E18" s="438" t="n"/>
      <c r="F18" s="438" t="n"/>
      <c r="G18" s="59" t="n"/>
      <c r="H18" s="439" t="inlineStr">
        <is>
          <t>Total costs</t>
        </is>
      </c>
      <c r="J18" s="423" t="n"/>
      <c r="K18" s="21" t="n"/>
      <c r="L18" s="374" t="n"/>
      <c r="M18" s="6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</row>
    <row r="19">
      <c r="A19" s="348" t="n"/>
      <c r="B19" s="1" t="n"/>
      <c r="C19" s="438" t="n"/>
      <c r="D19" s="438" t="n"/>
      <c r="E19" s="438" t="n"/>
      <c r="F19" s="438" t="n"/>
      <c r="G19" s="59" t="n"/>
      <c r="H19" s="62" t="n"/>
      <c r="I19" s="62" t="n"/>
      <c r="J19" s="62" t="n"/>
      <c r="K19" s="21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</row>
    <row r="20">
      <c r="A20" s="348" t="n"/>
      <c r="B20" s="5" t="n"/>
      <c r="C20" s="6" t="n"/>
      <c r="D20" s="6" t="n"/>
      <c r="E20" s="6" t="n"/>
      <c r="F20" s="6" t="n"/>
      <c r="G20" s="376" t="n"/>
      <c r="H20" s="373" t="n"/>
      <c r="I20" s="373" t="n"/>
      <c r="J20" s="373" t="n"/>
      <c r="K20" s="10" t="n"/>
      <c r="L20" s="375" t="n"/>
      <c r="M20" s="47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</row>
    <row r="21">
      <c r="A21" s="348" t="n"/>
      <c r="B21" s="5" t="n"/>
      <c r="C21" s="6" t="n"/>
      <c r="D21" s="6" t="n"/>
      <c r="E21" s="6" t="n"/>
      <c r="F21" s="6" t="n"/>
      <c r="G21" s="376" t="n"/>
      <c r="H21" s="373" t="n"/>
      <c r="I21" s="373" t="n"/>
      <c r="J21" s="373" t="n"/>
      <c r="K21" s="10" t="n"/>
      <c r="L21" s="54" t="n"/>
      <c r="O21" s="5" t="n"/>
      <c r="P21" s="5" t="n"/>
      <c r="Q21" s="5" t="n"/>
      <c r="R21" s="5" t="n"/>
      <c r="S21" s="5" t="n"/>
      <c r="T21" s="5" t="n"/>
      <c r="U21" s="5" t="n"/>
      <c r="V21" s="5" t="n"/>
    </row>
    <row r="22">
      <c r="A22" s="348" t="n"/>
      <c r="B22" s="5" t="n"/>
      <c r="C22" s="6" t="n"/>
      <c r="D22" s="6" t="n"/>
      <c r="E22" s="6" t="n"/>
      <c r="F22" s="6" t="n"/>
      <c r="G22" s="376" t="n"/>
      <c r="H22" s="373" t="n"/>
      <c r="I22" s="373" t="n"/>
      <c r="J22" s="373" t="n"/>
      <c r="K22" s="10" t="n"/>
      <c r="L22" s="37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>
      <c r="A23" s="348" t="n"/>
      <c r="B23" s="5" t="n"/>
      <c r="C23" s="6" t="n"/>
      <c r="D23" s="6" t="n"/>
      <c r="E23" s="6" t="n"/>
      <c r="F23" s="6" t="n"/>
      <c r="G23" s="376" t="n"/>
      <c r="H23" s="373" t="n"/>
      <c r="I23" s="373" t="n"/>
      <c r="J23" s="373" t="n"/>
      <c r="K23" s="10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>
      <c r="A24" s="348" t="n"/>
      <c r="B24" s="5" t="n"/>
      <c r="C24" s="43" t="n"/>
      <c r="D24" s="6" t="n"/>
      <c r="E24" s="6" t="n"/>
      <c r="F24" s="43" t="n"/>
      <c r="G24" s="376" t="n"/>
      <c r="H24" s="373" t="n"/>
      <c r="I24" s="373" t="n"/>
      <c r="J24" s="373" t="n"/>
      <c r="K24" s="10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</row>
    <row r="25">
      <c r="A25" s="348" t="n"/>
      <c r="B25" s="5" t="n"/>
      <c r="C25" s="6" t="n"/>
      <c r="D25" s="6" t="n"/>
      <c r="E25" s="6" t="n"/>
      <c r="F25" s="6" t="n"/>
      <c r="G25" s="376" t="n"/>
      <c r="H25" s="373" t="n"/>
      <c r="I25" s="373" t="n"/>
      <c r="J25" s="373" t="n"/>
      <c r="K25" s="10" t="n"/>
      <c r="L25" s="6" t="n"/>
      <c r="M25" s="6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</row>
    <row r="26">
      <c r="A26" s="348" t="n"/>
      <c r="B26" s="5" t="n"/>
      <c r="C26" s="6" t="n"/>
      <c r="D26" s="6" t="n"/>
      <c r="E26" s="6" t="n"/>
      <c r="F26" s="6" t="n"/>
      <c r="G26" s="376" t="n"/>
      <c r="H26" s="373" t="n"/>
      <c r="I26" s="373" t="n"/>
      <c r="J26" s="373" t="n"/>
      <c r="K26" s="10" t="n"/>
      <c r="L26" s="6" t="n"/>
      <c r="M26" s="43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348" t="n"/>
      <c r="B27" s="5" t="n"/>
      <c r="C27" s="6" t="n"/>
      <c r="D27" s="6" t="n"/>
      <c r="E27" s="6" t="n"/>
      <c r="F27" s="6" t="n"/>
      <c r="G27" s="376" t="n"/>
      <c r="H27" s="373" t="n"/>
      <c r="I27" s="373" t="n"/>
      <c r="J27" s="373" t="n"/>
      <c r="K27" s="10" t="n"/>
      <c r="L27" s="6" t="n"/>
      <c r="M27" s="43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</row>
    <row r="28">
      <c r="A28" s="348" t="n"/>
      <c r="B28" s="5" t="n"/>
      <c r="C28" s="6" t="n"/>
      <c r="D28" s="6" t="n"/>
      <c r="E28" s="6" t="n"/>
      <c r="F28" s="6" t="n"/>
      <c r="G28" s="376" t="n"/>
      <c r="H28" s="373" t="n"/>
      <c r="I28" s="373" t="n"/>
      <c r="J28" s="373" t="n"/>
      <c r="K28" s="10" t="n"/>
      <c r="L28" s="6" t="n"/>
      <c r="M28" s="43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348" t="n"/>
      <c r="B29" s="5" t="n"/>
      <c r="C29" s="6" t="n"/>
      <c r="D29" s="6" t="n"/>
      <c r="E29" s="6" t="n"/>
      <c r="F29" s="6" t="n"/>
      <c r="G29" s="376" t="n"/>
      <c r="H29" s="373" t="n"/>
      <c r="I29" s="373" t="n"/>
      <c r="J29" s="373" t="n"/>
      <c r="K29" s="10" t="n"/>
      <c r="L29" s="6" t="n"/>
      <c r="M29" s="43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</row>
    <row r="30">
      <c r="A30" s="348" t="n"/>
      <c r="B30" s="5" t="n"/>
      <c r="C30" s="6" t="n"/>
      <c r="D30" s="6" t="n"/>
      <c r="E30" s="6" t="n"/>
      <c r="F30" s="6" t="n"/>
      <c r="G30" s="376" t="n"/>
      <c r="H30" s="373" t="n"/>
      <c r="I30" s="373" t="n"/>
      <c r="J30" s="373" t="n"/>
      <c r="K30" s="10" t="n"/>
      <c r="L30" s="6" t="n"/>
      <c r="M30" s="43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348" t="n"/>
      <c r="B31" s="5" t="n"/>
      <c r="C31" s="6" t="n"/>
      <c r="D31" s="6" t="n"/>
      <c r="E31" s="6" t="n"/>
      <c r="F31" s="6" t="n"/>
      <c r="G31" s="376" t="n"/>
      <c r="H31" s="373" t="n"/>
      <c r="I31" s="373" t="n"/>
      <c r="J31" s="373" t="n"/>
      <c r="K31" s="10" t="n"/>
      <c r="L31" s="6" t="n"/>
      <c r="M31" s="43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>
      <c r="A32" s="348" t="n"/>
      <c r="B32" s="5" t="n"/>
      <c r="C32" s="6" t="n"/>
      <c r="D32" s="6" t="n"/>
      <c r="E32" s="6" t="n"/>
      <c r="F32" s="6" t="n"/>
      <c r="G32" s="376" t="n"/>
      <c r="H32" s="373" t="n"/>
      <c r="I32" s="373" t="n"/>
      <c r="J32" s="373" t="n"/>
      <c r="K32" s="10" t="n"/>
      <c r="L32" s="6" t="n"/>
      <c r="M32" s="43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348" t="n"/>
      <c r="B33" s="5" t="n"/>
      <c r="C33" s="6" t="n"/>
      <c r="D33" s="6" t="n"/>
      <c r="E33" s="6" t="n"/>
      <c r="F33" s="6" t="n"/>
      <c r="G33" s="376" t="n"/>
      <c r="H33" s="373" t="n"/>
      <c r="I33" s="373" t="n"/>
      <c r="J33" s="373" t="n"/>
      <c r="K33" s="10" t="n"/>
      <c r="L33" s="6" t="n"/>
      <c r="M33" s="43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>
      <c r="A34" s="348" t="n"/>
      <c r="B34" s="5" t="n"/>
      <c r="C34" s="6" t="n"/>
      <c r="D34" s="6" t="n"/>
      <c r="E34" s="6" t="n"/>
      <c r="F34" s="6" t="n"/>
      <c r="G34" s="376" t="n"/>
      <c r="H34" s="373" t="n"/>
      <c r="I34" s="373" t="n"/>
      <c r="J34" s="373" t="n"/>
      <c r="K34" s="10" t="n"/>
      <c r="L34" s="6" t="n"/>
      <c r="M34" s="43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348" t="n"/>
      <c r="B35" s="5" t="n"/>
      <c r="C35" s="6" t="n"/>
      <c r="D35" s="6" t="n"/>
      <c r="E35" s="6" t="n"/>
      <c r="F35" s="6" t="n"/>
      <c r="G35" s="376" t="n"/>
      <c r="H35" s="373" t="n"/>
      <c r="I35" s="373" t="n"/>
      <c r="J35" s="373" t="n"/>
      <c r="K35" s="10" t="n"/>
      <c r="L35" s="6" t="n"/>
      <c r="M35" s="43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>
      <c r="A36" s="348" t="n"/>
      <c r="B36" s="5" t="n"/>
      <c r="C36" s="43" t="n"/>
      <c r="D36" s="6" t="n"/>
      <c r="E36" s="6" t="n"/>
      <c r="F36" s="6" t="n"/>
      <c r="G36" s="376" t="n"/>
      <c r="H36" s="373" t="n"/>
      <c r="I36" s="373" t="n"/>
      <c r="J36" s="373" t="n"/>
      <c r="K36" s="10" t="n"/>
      <c r="L36" s="6" t="n"/>
      <c r="M36" s="43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348" t="n"/>
      <c r="B37" s="5" t="n"/>
      <c r="C37" s="6" t="n"/>
      <c r="D37" s="6" t="n"/>
      <c r="E37" s="6" t="n"/>
      <c r="F37" s="6" t="n"/>
      <c r="G37" s="376" t="n"/>
      <c r="H37" s="373" t="n"/>
      <c r="I37" s="373" t="n"/>
      <c r="J37" s="373" t="n"/>
      <c r="K37" s="10" t="n"/>
      <c r="L37" s="6" t="n"/>
      <c r="M37" s="43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>
      <c r="A38" s="348" t="n"/>
      <c r="B38" s="5" t="n"/>
      <c r="C38" s="6" t="n"/>
      <c r="D38" s="6" t="n"/>
      <c r="E38" s="6" t="n"/>
      <c r="F38" s="6" t="n"/>
      <c r="G38" s="376" t="n"/>
      <c r="H38" s="373" t="n"/>
      <c r="I38" s="373" t="n"/>
      <c r="J38" s="373" t="n"/>
      <c r="K38" s="10" t="n"/>
      <c r="L38" s="6" t="n"/>
      <c r="M38" s="43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>
      <c r="A39" s="348" t="n"/>
      <c r="B39" s="5" t="n"/>
      <c r="C39" s="6" t="n"/>
      <c r="D39" s="6" t="n"/>
      <c r="E39" s="6" t="n"/>
      <c r="F39" s="6" t="n"/>
      <c r="G39" s="376" t="n"/>
      <c r="H39" s="373" t="n"/>
      <c r="I39" s="373" t="n"/>
      <c r="J39" s="373" t="n"/>
      <c r="K39" s="10" t="n"/>
      <c r="L39" s="6" t="n"/>
      <c r="M39" s="43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>
      <c r="A40" s="348" t="n"/>
      <c r="B40" s="5" t="n"/>
      <c r="C40" s="6" t="n"/>
      <c r="D40" s="6" t="n"/>
      <c r="E40" s="6" t="n"/>
      <c r="F40" s="6" t="n"/>
      <c r="G40" s="377" t="n"/>
      <c r="H40" s="373" t="n"/>
      <c r="I40" s="373" t="n"/>
      <c r="J40" s="373" t="n"/>
      <c r="K40" s="10" t="n"/>
      <c r="L40" s="6" t="n"/>
      <c r="M40" s="43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>
      <c r="A41" s="348" t="n"/>
      <c r="B41" s="5" t="n"/>
      <c r="C41" s="6" t="n"/>
      <c r="D41" s="6" t="n"/>
      <c r="E41" s="6" t="n"/>
      <c r="F41" s="6" t="n"/>
      <c r="G41" s="6" t="n"/>
      <c r="H41" s="40" t="n"/>
      <c r="I41" s="41" t="n"/>
      <c r="J41" s="42" t="n"/>
      <c r="K41" s="5" t="n"/>
      <c r="L41" s="6" t="n"/>
      <c r="M41" s="43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>
      <c r="A42" s="348" t="n"/>
      <c r="B42" s="5" t="n"/>
      <c r="C42" s="6" t="n"/>
      <c r="D42" s="6" t="n"/>
      <c r="E42" s="6" t="n"/>
      <c r="F42" s="6" t="n"/>
      <c r="G42" s="377" t="n"/>
      <c r="H42" s="373" t="n"/>
      <c r="I42" s="373" t="n"/>
      <c r="J42" s="373" t="n"/>
      <c r="K42" s="10" t="n"/>
      <c r="L42" s="6" t="n"/>
      <c r="M42" s="43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</sheetData>
  <mergeCells count="2">
    <mergeCell ref="C4:E4"/>
    <mergeCell ref="H18:I18"/>
  </mergeCells>
  <pageMargins left="0.7" right="0.7" top="0.787401575" bottom="0.7874015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11">
    <outlinePr summaryBelow="1" summaryRight="1"/>
    <pageSetUpPr/>
  </sheetPr>
  <dimension ref="A1:X45"/>
  <sheetViews>
    <sheetView zoomScale="75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8" sqref="W18"/>
    </sheetView>
  </sheetViews>
  <sheetFormatPr baseColWidth="10" defaultColWidth="16" defaultRowHeight="15"/>
  <cols>
    <col width="3" customWidth="1" style="355" min="1" max="1"/>
    <col width="5.33203125" customWidth="1" style="97" min="2" max="2"/>
    <col width="14.33203125" customWidth="1" style="65" min="3" max="3"/>
    <col width="17.6640625" customWidth="1" style="64" min="4" max="4"/>
    <col width="14.33203125" customWidth="1" style="64" min="5" max="5"/>
    <col width="16" customWidth="1" style="64" min="6" max="7"/>
    <col width="16" customWidth="1" style="65" min="8" max="16384"/>
  </cols>
  <sheetData>
    <row r="1" customFormat="1" s="355">
      <c r="A1" s="348" t="n"/>
      <c r="B1" s="348" t="n"/>
      <c r="D1" s="356" t="n"/>
      <c r="E1" s="356" t="n"/>
      <c r="F1" s="356" t="n"/>
      <c r="G1" s="356" t="n"/>
    </row>
    <row r="2" ht="16" customFormat="1" customHeight="1" s="64" thickBot="1">
      <c r="A2" s="348" t="n"/>
      <c r="B2" s="17" t="n"/>
      <c r="C2" s="98" t="n"/>
      <c r="D2" s="77" t="n"/>
      <c r="E2" s="77" t="n"/>
      <c r="F2" s="77" t="n"/>
      <c r="G2" s="7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77" t="n"/>
    </row>
    <row r="3" ht="16" customFormat="1" customHeight="1" s="64" thickBot="1">
      <c r="A3" s="348" t="n"/>
      <c r="B3" s="17" t="n"/>
      <c r="C3" s="487" t="inlineStr">
        <is>
          <t>Order book</t>
        </is>
      </c>
      <c r="D3" s="488" t="n"/>
      <c r="E3" s="489" t="n"/>
      <c r="F3" s="77" t="n"/>
      <c r="G3" s="487" t="inlineStr">
        <is>
          <t>First Come First Serve Priority Rule (FCFS)</t>
        </is>
      </c>
      <c r="H3" s="488" t="n"/>
      <c r="I3" s="488" t="n"/>
      <c r="J3" s="488" t="n"/>
      <c r="K3" s="489" t="n"/>
      <c r="L3" s="97" t="n"/>
      <c r="M3" s="487" t="inlineStr">
        <is>
          <t>Shortest Processing Time Priority Rule (SPT)</t>
        </is>
      </c>
      <c r="N3" s="488" t="n"/>
      <c r="O3" s="488" t="n"/>
      <c r="P3" s="488" t="n"/>
      <c r="Q3" s="489" t="n"/>
      <c r="R3" s="97" t="n"/>
      <c r="S3" s="490" t="inlineStr">
        <is>
          <t>Earliest Due Date Priority Rule (EDD)</t>
        </is>
      </c>
      <c r="T3" s="491" t="n"/>
      <c r="U3" s="491" t="n"/>
      <c r="V3" s="491" t="n"/>
      <c r="W3" s="492" t="n"/>
      <c r="X3" s="77" t="n"/>
    </row>
    <row r="4" ht="16" customFormat="1" customHeight="1" s="64" thickBot="1">
      <c r="A4" s="348" t="n"/>
      <c r="B4" s="17" t="n"/>
      <c r="C4" s="66" t="inlineStr">
        <is>
          <t>Job</t>
        </is>
      </c>
      <c r="D4" s="67" t="inlineStr">
        <is>
          <t>Processing time</t>
        </is>
      </c>
      <c r="E4" s="68" t="inlineStr">
        <is>
          <t>Due date</t>
        </is>
      </c>
      <c r="F4" s="77" t="n"/>
      <c r="G4" s="406" t="inlineStr">
        <is>
          <t>Job</t>
        </is>
      </c>
      <c r="H4" s="407" t="inlineStr">
        <is>
          <t>Processing time</t>
        </is>
      </c>
      <c r="I4" s="407" t="inlineStr">
        <is>
          <t>Due date</t>
        </is>
      </c>
      <c r="J4" s="407" t="inlineStr">
        <is>
          <t>Completion time</t>
        </is>
      </c>
      <c r="K4" s="408" t="inlineStr">
        <is>
          <t>Tardiness</t>
        </is>
      </c>
      <c r="L4" s="97" t="n"/>
      <c r="M4" s="406" t="inlineStr">
        <is>
          <t>Job</t>
        </is>
      </c>
      <c r="N4" s="407" t="inlineStr">
        <is>
          <t>Processing time</t>
        </is>
      </c>
      <c r="O4" s="407" t="inlineStr">
        <is>
          <t>Due date</t>
        </is>
      </c>
      <c r="P4" s="407" t="inlineStr">
        <is>
          <t>Completion time</t>
        </is>
      </c>
      <c r="Q4" s="408" t="inlineStr">
        <is>
          <t>Tardiness</t>
        </is>
      </c>
      <c r="R4" s="97" t="n"/>
      <c r="S4" s="406" t="inlineStr">
        <is>
          <t>Job</t>
        </is>
      </c>
      <c r="T4" s="407" t="inlineStr">
        <is>
          <t>Processing time</t>
        </is>
      </c>
      <c r="U4" s="407" t="inlineStr">
        <is>
          <t>Due date</t>
        </is>
      </c>
      <c r="V4" s="407" t="inlineStr">
        <is>
          <t>Completion time</t>
        </is>
      </c>
      <c r="W4" s="408" t="inlineStr">
        <is>
          <t>Tardiness</t>
        </is>
      </c>
      <c r="X4" s="77" t="n"/>
    </row>
    <row r="5" customFormat="1" s="64">
      <c r="A5" s="348" t="n"/>
      <c r="B5" s="17" t="n"/>
      <c r="C5" s="69" t="n">
        <v>2314</v>
      </c>
      <c r="D5" s="70" t="n">
        <v>4</v>
      </c>
      <c r="E5" s="71" t="n">
        <v>32</v>
      </c>
      <c r="F5" s="77" t="n"/>
      <c r="G5" s="69" t="n">
        <v>275</v>
      </c>
      <c r="H5" s="70" t="n">
        <v>8</v>
      </c>
      <c r="I5" s="71" t="n">
        <v>12</v>
      </c>
      <c r="J5" s="409" t="n"/>
      <c r="K5" s="410" t="n"/>
      <c r="L5" s="97" t="n"/>
      <c r="M5" s="69" t="n">
        <v>3685</v>
      </c>
      <c r="N5" s="70" t="n">
        <v>1</v>
      </c>
      <c r="O5" s="71" t="n">
        <v>14</v>
      </c>
      <c r="P5" s="409" t="n"/>
      <c r="Q5" s="410" t="n"/>
      <c r="R5" s="97" t="n"/>
      <c r="S5" s="69" t="n">
        <v>1234</v>
      </c>
      <c r="T5" s="70" t="n">
        <v>3</v>
      </c>
      <c r="U5" s="71" t="n">
        <v>8</v>
      </c>
      <c r="V5" s="409" t="n"/>
      <c r="W5" s="410" t="n"/>
      <c r="X5" s="77" t="n"/>
    </row>
    <row r="6" customFormat="1" s="64">
      <c r="A6" s="348" t="n"/>
      <c r="B6" s="17" t="n"/>
      <c r="C6" s="69" t="n">
        <v>6341</v>
      </c>
      <c r="D6" s="70" t="n">
        <v>12</v>
      </c>
      <c r="E6" s="71" t="n">
        <v>43</v>
      </c>
      <c r="F6" s="77" t="n"/>
      <c r="G6" s="69" t="n">
        <v>1234</v>
      </c>
      <c r="H6" s="70" t="n">
        <v>3</v>
      </c>
      <c r="I6" s="71" t="n">
        <v>8</v>
      </c>
      <c r="J6" s="72" t="n"/>
      <c r="K6" s="73" t="n"/>
      <c r="L6" s="97" t="n"/>
      <c r="M6" s="69" t="n">
        <v>3462</v>
      </c>
      <c r="N6" s="70" t="n">
        <v>2</v>
      </c>
      <c r="O6" s="71" t="n">
        <v>23</v>
      </c>
      <c r="P6" s="72" t="n"/>
      <c r="Q6" s="73" t="n"/>
      <c r="R6" s="97" t="n"/>
      <c r="S6" s="69" t="n">
        <v>275</v>
      </c>
      <c r="T6" s="70" t="n">
        <v>8</v>
      </c>
      <c r="U6" s="71" t="n">
        <v>12</v>
      </c>
      <c r="V6" s="72" t="n"/>
      <c r="W6" s="73" t="n"/>
      <c r="X6" s="77" t="n"/>
    </row>
    <row r="7" customFormat="1" s="64">
      <c r="A7" s="348" t="n"/>
      <c r="B7" s="17" t="n"/>
      <c r="C7" s="69" t="n">
        <v>1342</v>
      </c>
      <c r="D7" s="70" t="n">
        <v>5</v>
      </c>
      <c r="E7" s="71" t="n">
        <v>24</v>
      </c>
      <c r="F7" s="77" t="n"/>
      <c r="G7" s="69" t="n">
        <v>1235</v>
      </c>
      <c r="H7" s="70" t="n">
        <v>6</v>
      </c>
      <c r="I7" s="71" t="n">
        <v>15</v>
      </c>
      <c r="J7" s="72" t="n"/>
      <c r="K7" s="73" t="n"/>
      <c r="L7" s="97" t="n"/>
      <c r="M7" s="69" t="n">
        <v>1234</v>
      </c>
      <c r="N7" s="70" t="n">
        <v>3</v>
      </c>
      <c r="O7" s="71" t="n">
        <v>8</v>
      </c>
      <c r="P7" s="72" t="n"/>
      <c r="Q7" s="73" t="n"/>
      <c r="R7" s="97" t="n"/>
      <c r="S7" s="69" t="n">
        <v>3685</v>
      </c>
      <c r="T7" s="70" t="n">
        <v>1</v>
      </c>
      <c r="U7" s="71" t="n">
        <v>14</v>
      </c>
      <c r="V7" s="72" t="n"/>
      <c r="W7" s="73" t="n"/>
      <c r="X7" s="77" t="n"/>
    </row>
    <row r="8" customFormat="1" s="64">
      <c r="A8" s="348" t="n"/>
      <c r="B8" s="17" t="n"/>
      <c r="C8" s="69" t="n">
        <v>1234</v>
      </c>
      <c r="D8" s="70" t="n">
        <v>3</v>
      </c>
      <c r="E8" s="71" t="n">
        <v>8</v>
      </c>
      <c r="F8" s="77" t="n"/>
      <c r="G8" s="69" t="n">
        <v>1342</v>
      </c>
      <c r="H8" s="70" t="n">
        <v>5</v>
      </c>
      <c r="I8" s="71" t="n">
        <v>24</v>
      </c>
      <c r="J8" s="72" t="n"/>
      <c r="K8" s="73" t="n"/>
      <c r="L8" s="97" t="n"/>
      <c r="M8" s="69" t="n">
        <v>2314</v>
      </c>
      <c r="N8" s="70" t="n">
        <v>4</v>
      </c>
      <c r="O8" s="71" t="n">
        <v>32</v>
      </c>
      <c r="P8" s="72" t="n"/>
      <c r="Q8" s="73" t="n"/>
      <c r="R8" s="97" t="n"/>
      <c r="S8" s="69" t="n">
        <v>1235</v>
      </c>
      <c r="T8" s="70" t="n">
        <v>6</v>
      </c>
      <c r="U8" s="71" t="n">
        <v>15</v>
      </c>
      <c r="V8" s="72" t="n"/>
      <c r="W8" s="73" t="n"/>
      <c r="X8" s="77" t="n"/>
    </row>
    <row r="9" customFormat="1" s="64">
      <c r="A9" s="348" t="n"/>
      <c r="B9" s="17" t="n"/>
      <c r="C9" s="69" t="n">
        <v>275</v>
      </c>
      <c r="D9" s="70" t="n">
        <v>8</v>
      </c>
      <c r="E9" s="71" t="n">
        <v>12</v>
      </c>
      <c r="F9" s="77" t="n"/>
      <c r="G9" s="69" t="n">
        <v>2314</v>
      </c>
      <c r="H9" s="70" t="n">
        <v>4</v>
      </c>
      <c r="I9" s="71" t="n">
        <v>32</v>
      </c>
      <c r="J9" s="72" t="n"/>
      <c r="K9" s="73" t="n"/>
      <c r="L9" s="97" t="n"/>
      <c r="M9" s="69" t="n">
        <v>1342</v>
      </c>
      <c r="N9" s="70" t="n">
        <v>5</v>
      </c>
      <c r="O9" s="71" t="n">
        <v>24</v>
      </c>
      <c r="P9" s="72" t="n"/>
      <c r="Q9" s="73" t="n"/>
      <c r="R9" s="97" t="n"/>
      <c r="S9" s="69" t="n">
        <v>3462</v>
      </c>
      <c r="T9" s="70" t="n">
        <v>2</v>
      </c>
      <c r="U9" s="71" t="n">
        <v>23</v>
      </c>
      <c r="V9" s="72" t="n"/>
      <c r="W9" s="73" t="n"/>
      <c r="X9" s="77" t="n"/>
    </row>
    <row r="10" customFormat="1" s="64">
      <c r="A10" s="348" t="n"/>
      <c r="B10" s="17" t="n"/>
      <c r="C10" s="69" t="n">
        <v>3685</v>
      </c>
      <c r="D10" s="70" t="n">
        <v>1</v>
      </c>
      <c r="E10" s="71" t="n">
        <v>14</v>
      </c>
      <c r="F10" s="77" t="n"/>
      <c r="G10" s="69" t="n">
        <v>3426</v>
      </c>
      <c r="H10" s="70" t="n">
        <v>9</v>
      </c>
      <c r="I10" s="71" t="n">
        <v>42</v>
      </c>
      <c r="J10" s="72" t="n"/>
      <c r="K10" s="73" t="n"/>
      <c r="L10" s="97" t="n"/>
      <c r="M10" s="69" t="n">
        <v>1235</v>
      </c>
      <c r="N10" s="70" t="n">
        <v>6</v>
      </c>
      <c r="O10" s="71" t="n">
        <v>15</v>
      </c>
      <c r="P10" s="72" t="n"/>
      <c r="Q10" s="73" t="n"/>
      <c r="R10" s="97" t="n"/>
      <c r="S10" s="69" t="n">
        <v>1342</v>
      </c>
      <c r="T10" s="70" t="n">
        <v>5</v>
      </c>
      <c r="U10" s="71" t="n">
        <v>24</v>
      </c>
      <c r="V10" s="72" t="n"/>
      <c r="W10" s="73" t="n"/>
      <c r="X10" s="77" t="n"/>
    </row>
    <row r="11" customFormat="1" s="64">
      <c r="A11" s="348" t="n"/>
      <c r="B11" s="17" t="n"/>
      <c r="C11" s="69" t="n">
        <v>1235</v>
      </c>
      <c r="D11" s="70" t="n">
        <v>6</v>
      </c>
      <c r="E11" s="71" t="n">
        <v>15</v>
      </c>
      <c r="F11" s="77" t="n"/>
      <c r="G11" s="69" t="n">
        <v>3462</v>
      </c>
      <c r="H11" s="70" t="n">
        <v>2</v>
      </c>
      <c r="I11" s="71" t="n">
        <v>23</v>
      </c>
      <c r="J11" s="72" t="n"/>
      <c r="K11" s="73" t="n"/>
      <c r="L11" s="97" t="n"/>
      <c r="M11" s="69" t="n">
        <v>7224</v>
      </c>
      <c r="N11" s="70" t="n">
        <v>7</v>
      </c>
      <c r="O11" s="71" t="n">
        <v>50</v>
      </c>
      <c r="P11" s="72" t="n"/>
      <c r="Q11" s="73" t="n"/>
      <c r="R11" s="97" t="n"/>
      <c r="S11" s="69" t="n">
        <v>2314</v>
      </c>
      <c r="T11" s="70" t="n">
        <v>4</v>
      </c>
      <c r="U11" s="71" t="n">
        <v>32</v>
      </c>
      <c r="V11" s="72" t="n"/>
      <c r="W11" s="73" t="n"/>
      <c r="X11" s="77" t="n"/>
    </row>
    <row r="12" customFormat="1" s="64">
      <c r="A12" s="348" t="n"/>
      <c r="B12" s="17" t="n"/>
      <c r="C12" s="69" t="n">
        <v>7224</v>
      </c>
      <c r="D12" s="70" t="n">
        <v>7</v>
      </c>
      <c r="E12" s="71" t="n">
        <v>50</v>
      </c>
      <c r="F12" s="77" t="n"/>
      <c r="G12" s="69" t="n">
        <v>3685</v>
      </c>
      <c r="H12" s="70" t="n">
        <v>1</v>
      </c>
      <c r="I12" s="71" t="n">
        <v>14</v>
      </c>
      <c r="J12" s="72" t="n"/>
      <c r="K12" s="73" t="n"/>
      <c r="L12" s="97" t="n"/>
      <c r="M12" s="69" t="n">
        <v>275</v>
      </c>
      <c r="N12" s="70" t="n">
        <v>8</v>
      </c>
      <c r="O12" s="71" t="n">
        <v>12</v>
      </c>
      <c r="P12" s="72" t="n"/>
      <c r="Q12" s="73" t="n"/>
      <c r="R12" s="97" t="n"/>
      <c r="S12" s="69" t="n">
        <v>3426</v>
      </c>
      <c r="T12" s="70" t="n">
        <v>9</v>
      </c>
      <c r="U12" s="71" t="n">
        <v>42</v>
      </c>
      <c r="V12" s="72" t="n"/>
      <c r="W12" s="73" t="n"/>
      <c r="X12" s="77" t="n"/>
    </row>
    <row r="13" customFormat="1" s="64">
      <c r="A13" s="348" t="n"/>
      <c r="B13" s="17" t="n"/>
      <c r="C13" s="69" t="n">
        <v>3426</v>
      </c>
      <c r="D13" s="70" t="n">
        <v>9</v>
      </c>
      <c r="E13" s="71" t="n">
        <v>42</v>
      </c>
      <c r="F13" s="77" t="n"/>
      <c r="G13" s="69" t="n">
        <v>6341</v>
      </c>
      <c r="H13" s="70" t="n">
        <v>12</v>
      </c>
      <c r="I13" s="71" t="n">
        <v>43</v>
      </c>
      <c r="J13" s="72" t="n"/>
      <c r="K13" s="73" t="n"/>
      <c r="L13" s="97" t="n"/>
      <c r="M13" s="69" t="n">
        <v>3426</v>
      </c>
      <c r="N13" s="70" t="n">
        <v>9</v>
      </c>
      <c r="O13" s="71" t="n">
        <v>42</v>
      </c>
      <c r="P13" s="72" t="n"/>
      <c r="Q13" s="73" t="n"/>
      <c r="R13" s="97" t="n"/>
      <c r="S13" s="69" t="n">
        <v>6341</v>
      </c>
      <c r="T13" s="70" t="n">
        <v>12</v>
      </c>
      <c r="U13" s="71" t="n">
        <v>43</v>
      </c>
      <c r="V13" s="72" t="n"/>
      <c r="W13" s="73" t="n"/>
      <c r="X13" s="77" t="n"/>
    </row>
    <row r="14" ht="16" customFormat="1" customHeight="1" s="64" thickBot="1">
      <c r="A14" s="348" t="n"/>
      <c r="B14" s="17" t="n"/>
      <c r="C14" s="74" t="n">
        <v>3462</v>
      </c>
      <c r="D14" s="75" t="n">
        <v>2</v>
      </c>
      <c r="E14" s="405" t="n">
        <v>23</v>
      </c>
      <c r="F14" s="77" t="n"/>
      <c r="G14" s="74" t="n">
        <v>7224</v>
      </c>
      <c r="H14" s="75" t="n">
        <v>7</v>
      </c>
      <c r="I14" s="405" t="n">
        <v>50</v>
      </c>
      <c r="J14" s="72" t="n"/>
      <c r="K14" s="411" t="n"/>
      <c r="L14" s="97" t="n"/>
      <c r="M14" s="74" t="n">
        <v>6341</v>
      </c>
      <c r="N14" s="75" t="n">
        <v>12</v>
      </c>
      <c r="O14" s="405" t="n">
        <v>43</v>
      </c>
      <c r="P14" s="72" t="n"/>
      <c r="Q14" s="411" t="n"/>
      <c r="R14" s="97" t="n"/>
      <c r="S14" s="74" t="n">
        <v>7224</v>
      </c>
      <c r="T14" s="75" t="n">
        <v>7</v>
      </c>
      <c r="U14" s="405" t="n">
        <v>50</v>
      </c>
      <c r="V14" s="72" t="n"/>
      <c r="W14" s="411" t="n"/>
      <c r="X14" s="77" t="n"/>
    </row>
    <row r="15">
      <c r="A15" s="348" t="n"/>
      <c r="B15" s="17" t="n"/>
      <c r="C15" s="97" t="n"/>
      <c r="D15" s="77" t="n"/>
      <c r="E15" s="77" t="n"/>
      <c r="F15" s="77" t="n"/>
      <c r="G15" s="76" t="inlineStr">
        <is>
          <t>Sum</t>
        </is>
      </c>
      <c r="H15" s="77" t="n"/>
      <c r="I15" s="77" t="n"/>
      <c r="J15" s="78">
        <f>SUM(J5:J14)</f>
        <v/>
      </c>
      <c r="K15" s="71" t="n"/>
      <c r="L15" s="97" t="n"/>
      <c r="M15" s="76" t="inlineStr">
        <is>
          <t>Sum</t>
        </is>
      </c>
      <c r="N15" s="77" t="n"/>
      <c r="O15" s="77" t="n"/>
      <c r="P15" s="78">
        <f>SUM(P5:P14)</f>
        <v/>
      </c>
      <c r="Q15" s="71" t="n"/>
      <c r="R15" s="97" t="n"/>
      <c r="S15" s="76" t="inlineStr">
        <is>
          <t>Sum</t>
        </is>
      </c>
      <c r="T15" s="77" t="n"/>
      <c r="U15" s="77" t="n"/>
      <c r="V15" s="78">
        <f>SUM(V5:V14)</f>
        <v/>
      </c>
      <c r="W15" s="71" t="n"/>
      <c r="X15" s="97" t="n"/>
    </row>
    <row r="16">
      <c r="A16" s="348" t="n"/>
      <c r="B16" s="17" t="n"/>
      <c r="C16" s="97" t="n"/>
      <c r="D16" s="77" t="n"/>
      <c r="E16" s="77" t="n"/>
      <c r="F16" s="77" t="n"/>
      <c r="G16" s="76" t="inlineStr">
        <is>
          <t>Average completion time</t>
        </is>
      </c>
      <c r="H16" s="77" t="n"/>
      <c r="I16" s="77" t="n"/>
      <c r="J16" s="78">
        <f>AVERAGE(J5:J14)</f>
        <v/>
      </c>
      <c r="K16" s="71" t="n"/>
      <c r="L16" s="97" t="n"/>
      <c r="M16" s="76" t="inlineStr">
        <is>
          <t>Average completion time</t>
        </is>
      </c>
      <c r="N16" s="77" t="n"/>
      <c r="O16" s="77" t="n"/>
      <c r="P16" s="78">
        <f>AVERAGE(P5:P14)</f>
        <v/>
      </c>
      <c r="Q16" s="71" t="n"/>
      <c r="R16" s="97" t="n"/>
      <c r="S16" s="76" t="inlineStr">
        <is>
          <t>Average completion time</t>
        </is>
      </c>
      <c r="T16" s="77" t="n"/>
      <c r="U16" s="77" t="n"/>
      <c r="V16" s="78">
        <f>AVERAGE(V5:V14)</f>
        <v/>
      </c>
      <c r="W16" s="71" t="n"/>
      <c r="X16" s="97" t="n"/>
    </row>
    <row r="17">
      <c r="A17" s="348" t="n"/>
      <c r="B17" s="17" t="n"/>
      <c r="C17" s="97" t="n"/>
      <c r="D17" s="77" t="n"/>
      <c r="E17" s="77" t="n"/>
      <c r="F17" s="77" t="n"/>
      <c r="G17" s="99" t="inlineStr">
        <is>
          <t>Max. tardiness</t>
        </is>
      </c>
      <c r="H17" s="100" t="n"/>
      <c r="I17" s="77" t="n"/>
      <c r="J17" s="78" t="n"/>
      <c r="K17" s="79" t="n"/>
      <c r="L17" s="97" t="n"/>
      <c r="M17" s="99" t="inlineStr">
        <is>
          <t>Max. tardiness</t>
        </is>
      </c>
      <c r="N17" s="100" t="n"/>
      <c r="O17" s="77" t="n"/>
      <c r="P17" s="78" t="n"/>
      <c r="Q17" s="79" t="n"/>
      <c r="R17" s="97" t="n"/>
      <c r="S17" s="99" t="inlineStr">
        <is>
          <t>Max. tardiness</t>
        </is>
      </c>
      <c r="T17" s="100" t="n"/>
      <c r="U17" s="77" t="n"/>
      <c r="V17" s="78" t="n"/>
      <c r="W17" s="79" t="n"/>
      <c r="X17" s="97" t="n"/>
    </row>
    <row r="18" ht="16" customHeight="1" thickBot="1">
      <c r="A18" s="348" t="n"/>
      <c r="B18" s="17" t="n"/>
      <c r="C18" s="97" t="n"/>
      <c r="D18" s="77" t="n"/>
      <c r="E18" s="77" t="n"/>
      <c r="F18" s="77" t="n"/>
      <c r="G18" s="101" t="inlineStr">
        <is>
          <t>Number of delayed jobs</t>
        </is>
      </c>
      <c r="H18" s="102" t="n"/>
      <c r="I18" s="80" t="n"/>
      <c r="J18" s="81" t="n"/>
      <c r="K18" s="82">
        <f>COUNTIF(K5:K14,"&gt;="&amp;1)</f>
        <v/>
      </c>
      <c r="L18" s="97" t="n"/>
      <c r="M18" s="101" t="inlineStr">
        <is>
          <t>Number of delayed jobs</t>
        </is>
      </c>
      <c r="N18" s="102" t="n"/>
      <c r="O18" s="80" t="n"/>
      <c r="P18" s="81" t="n"/>
      <c r="Q18" s="424" t="n"/>
      <c r="R18" s="97" t="n"/>
      <c r="S18" s="101" t="inlineStr">
        <is>
          <t>Number of delayed jobs</t>
        </is>
      </c>
      <c r="T18" s="102" t="n"/>
      <c r="U18" s="80" t="n"/>
      <c r="V18" s="81" t="n"/>
      <c r="W18" s="424" t="n"/>
      <c r="X18" s="97" t="n"/>
    </row>
    <row r="19">
      <c r="A19" s="348" t="n"/>
      <c r="B19" s="17" t="n"/>
      <c r="C19" s="97" t="n"/>
      <c r="D19" s="77" t="n"/>
      <c r="E19" s="77" t="n"/>
      <c r="F19" s="77" t="n"/>
      <c r="G19" s="77" t="n"/>
      <c r="H19" s="97" t="n"/>
      <c r="I19" s="98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  <c r="X19" s="97" t="n"/>
    </row>
    <row r="20">
      <c r="A20" s="348" t="n"/>
      <c r="B20" s="17" t="n"/>
      <c r="C20" s="97" t="n"/>
      <c r="D20" s="77" t="n"/>
      <c r="E20" s="77" t="n"/>
      <c r="F20" s="77" t="n"/>
      <c r="G20" s="77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  <c r="X20" s="97" t="n"/>
    </row>
    <row r="21">
      <c r="A21" s="348" t="n"/>
    </row>
    <row r="22">
      <c r="A22" s="348" t="n"/>
    </row>
    <row r="23">
      <c r="A23" s="348" t="n"/>
    </row>
    <row r="24">
      <c r="A24" s="348" t="n"/>
      <c r="D24" s="65" t="n"/>
      <c r="E24" s="65" t="n"/>
      <c r="F24" s="65" t="n"/>
    </row>
    <row r="25">
      <c r="A25" s="348" t="n"/>
      <c r="D25" s="65" t="n"/>
      <c r="E25" s="65" t="n"/>
      <c r="F25" s="65" t="n"/>
    </row>
    <row r="26">
      <c r="A26" s="348" t="n"/>
      <c r="D26" s="65" t="n"/>
      <c r="E26" s="65" t="n"/>
      <c r="F26" s="65" t="n"/>
    </row>
    <row r="27">
      <c r="A27" s="348" t="n"/>
      <c r="D27" s="65" t="n"/>
      <c r="E27" s="65" t="n"/>
      <c r="F27" s="65" t="n"/>
    </row>
    <row r="28">
      <c r="A28" s="348" t="n"/>
      <c r="D28" s="65" t="n"/>
      <c r="E28" s="65" t="n"/>
      <c r="F28" s="65" t="n"/>
    </row>
    <row r="29">
      <c r="A29" s="348" t="n"/>
      <c r="D29" s="65" t="n"/>
      <c r="E29" s="65" t="n"/>
      <c r="F29" s="65" t="n"/>
    </row>
    <row r="30">
      <c r="A30" s="348" t="n"/>
      <c r="D30" s="65" t="n"/>
      <c r="E30" s="65" t="n"/>
      <c r="F30" s="65" t="n"/>
    </row>
    <row r="31">
      <c r="A31" s="348" t="n"/>
      <c r="D31" s="65" t="n"/>
      <c r="E31" s="65" t="n"/>
      <c r="F31" s="65" t="n"/>
    </row>
    <row r="32">
      <c r="A32" s="348" t="n"/>
      <c r="D32" s="65" t="n"/>
      <c r="E32" s="65" t="n"/>
      <c r="F32" s="65" t="n"/>
    </row>
    <row r="33">
      <c r="A33" s="348" t="n"/>
      <c r="D33" s="65" t="n"/>
      <c r="E33" s="65" t="n"/>
      <c r="F33" s="65" t="n"/>
    </row>
    <row r="34">
      <c r="A34" s="348" t="n"/>
      <c r="D34" s="65" t="n"/>
      <c r="E34" s="65" t="n"/>
      <c r="F34" s="65" t="n"/>
    </row>
    <row r="35">
      <c r="A35" s="348" t="n"/>
      <c r="D35" s="65" t="n"/>
      <c r="E35" s="65" t="n"/>
      <c r="F35" s="65" t="n"/>
    </row>
    <row r="36">
      <c r="A36" s="348" t="n"/>
      <c r="D36" s="65" t="n"/>
      <c r="E36" s="65" t="n"/>
      <c r="F36" s="65" t="n"/>
    </row>
    <row r="37">
      <c r="A37" s="348" t="n"/>
      <c r="D37" s="65" t="n"/>
      <c r="E37" s="65" t="n"/>
      <c r="F37" s="65" t="n"/>
    </row>
    <row r="38">
      <c r="A38" s="348" t="n"/>
      <c r="D38" s="65" t="n"/>
      <c r="E38" s="65" t="n"/>
      <c r="F38" s="65" t="n"/>
    </row>
    <row r="39">
      <c r="A39" s="348" t="n"/>
      <c r="D39" s="65" t="n"/>
      <c r="E39" s="65" t="n"/>
      <c r="F39" s="65" t="n"/>
    </row>
    <row r="40">
      <c r="A40" s="348" t="n"/>
      <c r="D40" s="65" t="n"/>
      <c r="E40" s="65" t="n"/>
      <c r="F40" s="65" t="n"/>
    </row>
    <row r="41">
      <c r="A41" s="348" t="n"/>
      <c r="B41" s="17" t="n"/>
      <c r="D41" s="65" t="n"/>
      <c r="E41" s="65" t="n"/>
      <c r="F41" s="65" t="n"/>
    </row>
    <row r="42">
      <c r="A42" s="348" t="n"/>
      <c r="B42" s="17" t="n"/>
      <c r="D42" s="65" t="n"/>
      <c r="E42" s="65" t="n"/>
      <c r="F42" s="65" t="n"/>
    </row>
    <row r="43">
      <c r="A43" s="348" t="n"/>
      <c r="B43" s="17" t="n"/>
    </row>
    <row r="44">
      <c r="A44" s="348" t="n"/>
      <c r="B44" s="17" t="n"/>
    </row>
    <row r="45">
      <c r="A45" s="348" t="n"/>
      <c r="B45" s="17" t="n"/>
    </row>
  </sheetData>
  <mergeCells count="4">
    <mergeCell ref="G3:K3"/>
    <mergeCell ref="M3:Q3"/>
    <mergeCell ref="C3:E3"/>
    <mergeCell ref="S3:W3"/>
  </mergeCell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 codeName="Sheet13">
    <outlinePr summaryBelow="1" summaryRight="1"/>
    <pageSetUpPr/>
  </sheetPr>
  <dimension ref="A1:O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7" sqref="D27"/>
    </sheetView>
  </sheetViews>
  <sheetFormatPr baseColWidth="10" defaultColWidth="8.83203125" defaultRowHeight="15"/>
  <cols>
    <col width="3" customWidth="1" style="348" min="1" max="1"/>
    <col width="15.83203125" customWidth="1" min="3" max="3"/>
    <col width="9.83203125" customWidth="1" min="10" max="10"/>
  </cols>
  <sheetData>
    <row r="1" customFormat="1" s="348">
      <c r="C1" s="355" t="n"/>
      <c r="D1" s="356" t="n"/>
      <c r="E1" s="356" t="n"/>
      <c r="F1" s="356" t="n"/>
      <c r="G1" s="356" t="n"/>
      <c r="H1" s="355" t="n"/>
      <c r="I1" s="355" t="n"/>
      <c r="J1" s="355" t="n"/>
      <c r="K1" s="355" t="n"/>
      <c r="L1" s="355" t="n"/>
    </row>
    <row r="2">
      <c r="B2" s="17" t="n"/>
      <c r="C2" s="97" t="n"/>
      <c r="D2" s="77" t="n"/>
      <c r="E2" s="77" t="n"/>
      <c r="F2" s="77" t="n"/>
      <c r="G2" s="17" t="n"/>
      <c r="H2" s="97" t="n"/>
      <c r="I2" s="77" t="n"/>
      <c r="J2" s="77" t="n"/>
      <c r="K2" s="77" t="n"/>
      <c r="L2" s="97" t="n"/>
    </row>
    <row r="3" ht="16" customHeight="1" thickBot="1">
      <c r="B3" s="17" t="n"/>
      <c r="C3" s="27" t="inlineStr">
        <is>
          <t>Transportation costs (per unit)</t>
        </is>
      </c>
      <c r="D3" s="115" t="n"/>
      <c r="E3" s="115" t="n"/>
      <c r="F3" s="115" t="n"/>
      <c r="G3" s="115" t="n"/>
      <c r="H3" s="115" t="n"/>
      <c r="I3" s="17" t="n"/>
      <c r="J3" s="17" t="n"/>
      <c r="K3" s="17" t="n"/>
      <c r="L3" s="17" t="n"/>
      <c r="M3" s="17" t="n"/>
      <c r="N3" s="17" t="n"/>
      <c r="O3" s="17" t="n"/>
    </row>
    <row r="4">
      <c r="B4" s="17" t="n"/>
      <c r="C4" s="116" t="n"/>
      <c r="D4" s="493" t="inlineStr">
        <is>
          <t>To</t>
        </is>
      </c>
      <c r="E4" s="494" t="n"/>
      <c r="F4" s="494" t="n"/>
      <c r="G4" s="495" t="n"/>
      <c r="H4" s="115" t="n"/>
      <c r="I4" s="17" t="n"/>
      <c r="J4" s="17" t="n"/>
      <c r="K4" s="17" t="n"/>
      <c r="L4" s="17" t="n"/>
      <c r="M4" s="17" t="n"/>
      <c r="N4" s="17" t="n"/>
      <c r="O4" s="17" t="n"/>
    </row>
    <row r="5">
      <c r="B5" s="17" t="n"/>
      <c r="C5" s="335" t="inlineStr">
        <is>
          <t>From</t>
        </is>
      </c>
      <c r="D5" s="117" t="inlineStr">
        <is>
          <t>St.Gallen</t>
        </is>
      </c>
      <c r="E5" s="117" t="inlineStr">
        <is>
          <t>Zürich</t>
        </is>
      </c>
      <c r="F5" s="117" t="inlineStr">
        <is>
          <t>Bad Ragaz</t>
        </is>
      </c>
      <c r="G5" s="118" t="inlineStr">
        <is>
          <t>Bern</t>
        </is>
      </c>
      <c r="H5" s="115" t="n"/>
      <c r="I5" s="17" t="n"/>
      <c r="J5" s="17" t="n"/>
      <c r="K5" s="17" t="n"/>
      <c r="L5" s="17" t="n"/>
      <c r="M5" s="17" t="n"/>
      <c r="N5" s="17" t="n"/>
      <c r="O5" s="17" t="n"/>
    </row>
    <row r="6">
      <c r="B6" s="17" t="n"/>
      <c r="C6" s="119" t="inlineStr">
        <is>
          <t>Luzern</t>
        </is>
      </c>
      <c r="D6" s="438" t="n">
        <v>5</v>
      </c>
      <c r="E6" s="438" t="n">
        <v>5</v>
      </c>
      <c r="F6" s="438" t="inlineStr">
        <is>
          <t>-</t>
        </is>
      </c>
      <c r="G6" s="103" t="n">
        <v>2</v>
      </c>
      <c r="H6" s="115" t="n"/>
      <c r="I6" s="17" t="n"/>
      <c r="J6" s="17" t="n"/>
      <c r="K6" s="17" t="n"/>
      <c r="L6" s="17" t="n"/>
      <c r="M6" s="17" t="n"/>
      <c r="N6" s="17" t="n"/>
      <c r="O6" s="17" t="n"/>
    </row>
    <row r="7">
      <c r="B7" s="17" t="n"/>
      <c r="C7" s="119" t="inlineStr">
        <is>
          <t>Aarau</t>
        </is>
      </c>
      <c r="D7" s="438" t="inlineStr">
        <is>
          <t>-</t>
        </is>
      </c>
      <c r="E7" s="438" t="n">
        <v>3</v>
      </c>
      <c r="F7" s="438" t="n">
        <v>6</v>
      </c>
      <c r="G7" s="103" t="n">
        <v>2</v>
      </c>
      <c r="H7" s="115" t="n"/>
      <c r="I7" s="17" t="n"/>
      <c r="J7" s="17" t="n"/>
      <c r="K7" s="17" t="n"/>
      <c r="L7" s="17" t="n"/>
      <c r="M7" s="17" t="n"/>
      <c r="N7" s="17" t="n"/>
      <c r="O7" s="17" t="n"/>
    </row>
    <row r="8">
      <c r="B8" s="17" t="n"/>
      <c r="C8" s="119" t="inlineStr">
        <is>
          <t>Amriswil</t>
        </is>
      </c>
      <c r="D8" s="438" t="n">
        <v>4</v>
      </c>
      <c r="E8" s="438" t="inlineStr">
        <is>
          <t>-</t>
        </is>
      </c>
      <c r="F8" s="438" t="n">
        <v>8</v>
      </c>
      <c r="G8" s="103" t="n">
        <v>1</v>
      </c>
      <c r="H8" s="115" t="n"/>
      <c r="I8" s="17" t="n"/>
      <c r="J8" s="17" t="n"/>
      <c r="K8" s="17" t="n"/>
      <c r="L8" s="17" t="n"/>
      <c r="M8" s="17" t="n"/>
      <c r="N8" s="17" t="n"/>
      <c r="O8" s="17" t="n"/>
    </row>
    <row r="9" ht="16" customHeight="1" thickBot="1">
      <c r="B9" s="17" t="n"/>
      <c r="C9" s="120" t="inlineStr">
        <is>
          <t>Uzwil</t>
        </is>
      </c>
      <c r="D9" s="104" t="n">
        <v>2</v>
      </c>
      <c r="E9" s="104" t="n">
        <v>5</v>
      </c>
      <c r="F9" s="104" t="n">
        <v>7</v>
      </c>
      <c r="G9" s="105" t="inlineStr">
        <is>
          <t>-</t>
        </is>
      </c>
      <c r="H9" s="115" t="n"/>
      <c r="I9" s="17" t="n"/>
      <c r="J9" s="17" t="n"/>
      <c r="K9" s="17" t="n"/>
      <c r="L9" s="17" t="n"/>
      <c r="M9" s="17" t="n"/>
      <c r="N9" s="17" t="n"/>
      <c r="O9" s="17" t="n"/>
    </row>
    <row r="10">
      <c r="B10" s="17" t="n"/>
      <c r="C10" s="4" t="inlineStr">
        <is>
          <t>Note: Paths denoted with "-" are not possible!</t>
        </is>
      </c>
      <c r="D10" s="1" t="n"/>
      <c r="E10" s="115" t="n"/>
      <c r="F10" s="115" t="n"/>
      <c r="G10" s="115" t="n"/>
      <c r="H10" s="115" t="n"/>
      <c r="I10" s="17" t="n"/>
      <c r="J10" s="17" t="n"/>
      <c r="K10" s="17" t="n"/>
      <c r="L10" s="17" t="n"/>
      <c r="M10" s="17" t="n"/>
      <c r="N10" s="17" t="n"/>
      <c r="O10" s="17" t="n"/>
    </row>
    <row r="11" ht="17" customHeight="1">
      <c r="B11" s="17" t="n"/>
      <c r="C11" s="1" t="n"/>
      <c r="D11" s="1" t="n"/>
      <c r="E11" s="1" t="n"/>
      <c r="F11" s="1" t="n"/>
      <c r="G11" s="1" t="n"/>
      <c r="H11" s="1" t="n"/>
      <c r="I11" s="106" t="n"/>
      <c r="J11" s="106" t="n"/>
      <c r="K11" s="106" t="n"/>
      <c r="L11" s="106" t="n"/>
      <c r="M11" s="106" t="n"/>
      <c r="N11" s="106" t="n"/>
      <c r="O11" s="106" t="n"/>
    </row>
    <row r="12" ht="18" customHeight="1" thickBot="1">
      <c r="B12" s="17" t="n"/>
      <c r="C12" s="4" t="inlineStr">
        <is>
          <t>Solution with minimal total transportation costs</t>
        </is>
      </c>
      <c r="D12" s="1" t="n"/>
      <c r="E12" s="1" t="n"/>
      <c r="F12" s="1" t="n"/>
      <c r="G12" s="1" t="n"/>
      <c r="H12" s="1" t="n"/>
      <c r="I12" s="106" t="n"/>
      <c r="J12" s="106" t="n"/>
      <c r="K12" s="106" t="n"/>
      <c r="L12" s="106" t="n"/>
      <c r="M12" s="106" t="n"/>
      <c r="N12" s="106" t="n"/>
      <c r="O12" s="106" t="n"/>
    </row>
    <row r="13" ht="17" customHeight="1">
      <c r="B13" s="17" t="n"/>
      <c r="C13" s="347" t="inlineStr">
        <is>
          <t>Transports</t>
        </is>
      </c>
      <c r="D13" s="451" t="inlineStr">
        <is>
          <t>To</t>
        </is>
      </c>
      <c r="E13" s="494" t="n"/>
      <c r="F13" s="494" t="n"/>
      <c r="G13" s="494" t="n"/>
      <c r="H13" s="344" t="n"/>
      <c r="I13" s="106" t="n"/>
      <c r="J13" s="496" t="inlineStr">
        <is>
          <t>Flow balance equations</t>
        </is>
      </c>
      <c r="K13" s="494" t="n"/>
      <c r="L13" s="494" t="n"/>
      <c r="M13" s="494" t="n"/>
      <c r="N13" s="494" t="n"/>
      <c r="O13" s="495" t="n"/>
    </row>
    <row r="14" ht="17" customHeight="1">
      <c r="B14" s="17" t="n"/>
      <c r="C14" s="335" t="inlineStr">
        <is>
          <t>From</t>
        </is>
      </c>
      <c r="D14" s="117" t="inlineStr">
        <is>
          <t>St.Gallen</t>
        </is>
      </c>
      <c r="E14" s="117" t="inlineStr">
        <is>
          <t>Zürich</t>
        </is>
      </c>
      <c r="F14" s="117" t="inlineStr">
        <is>
          <t>Bad Ragaz</t>
        </is>
      </c>
      <c r="G14" s="117" t="inlineStr">
        <is>
          <t>Bern</t>
        </is>
      </c>
      <c r="H14" s="345" t="inlineStr">
        <is>
          <t>Flow Out</t>
        </is>
      </c>
      <c r="I14" s="106" t="n"/>
      <c r="J14" s="121" t="inlineStr">
        <is>
          <t>Location</t>
        </is>
      </c>
      <c r="K14" s="122" t="inlineStr">
        <is>
          <t>Flow In</t>
        </is>
      </c>
      <c r="L14" s="122" t="inlineStr">
        <is>
          <t>Flow Out</t>
        </is>
      </c>
      <c r="M14" s="122" t="inlineStr">
        <is>
          <t>Net Flow</t>
        </is>
      </c>
      <c r="N14" s="123" t="n"/>
      <c r="O14" s="124" t="n"/>
    </row>
    <row r="15" ht="17" customHeight="1">
      <c r="B15" s="17" t="n"/>
      <c r="C15" s="119" t="inlineStr">
        <is>
          <t>Luzern</t>
        </is>
      </c>
      <c r="D15" s="336" t="n"/>
      <c r="E15" s="337" t="n"/>
      <c r="F15" s="337" t="n"/>
      <c r="G15" s="338" t="n"/>
      <c r="H15" s="125" t="n"/>
      <c r="I15" s="106" t="n"/>
      <c r="J15" s="119" t="inlineStr">
        <is>
          <t>Luzern</t>
        </is>
      </c>
      <c r="K15" s="107" t="n"/>
      <c r="L15" s="107" t="n">
        <v>1000</v>
      </c>
      <c r="M15" s="107">
        <f>K15-L15</f>
        <v/>
      </c>
      <c r="N15" s="107" t="inlineStr">
        <is>
          <t xml:space="preserve"> =</t>
        </is>
      </c>
      <c r="O15" s="108" t="n">
        <v>-1000</v>
      </c>
    </row>
    <row r="16" ht="17" customHeight="1">
      <c r="B16" s="17" t="n"/>
      <c r="C16" s="119" t="inlineStr">
        <is>
          <t>Aarau</t>
        </is>
      </c>
      <c r="D16" s="339" t="n"/>
      <c r="E16" s="340" t="n">
        <v>0</v>
      </c>
      <c r="F16" s="341" t="n"/>
      <c r="G16" s="131" t="n">
        <v>0</v>
      </c>
      <c r="H16" s="125" t="n"/>
      <c r="I16" s="106" t="n"/>
      <c r="J16" s="119" t="inlineStr">
        <is>
          <t>Aarau</t>
        </is>
      </c>
      <c r="K16" s="107" t="n"/>
      <c r="L16" s="107" t="n">
        <v>500</v>
      </c>
      <c r="M16" s="107">
        <f>K16-L16</f>
        <v/>
      </c>
      <c r="N16" s="130" t="inlineStr">
        <is>
          <t>=</t>
        </is>
      </c>
      <c r="O16" s="108" t="n">
        <v>-500</v>
      </c>
    </row>
    <row r="17" ht="17" customHeight="1">
      <c r="B17" s="17" t="n"/>
      <c r="C17" s="119" t="inlineStr">
        <is>
          <t>Amriswil</t>
        </is>
      </c>
      <c r="D17" s="342" t="n">
        <v>100</v>
      </c>
      <c r="E17" s="341" t="n"/>
      <c r="F17" s="341" t="n"/>
      <c r="G17" s="133" t="n"/>
      <c r="H17" s="125" t="n"/>
      <c r="I17" s="106" t="n"/>
      <c r="J17" s="119" t="inlineStr">
        <is>
          <t>Amriswil</t>
        </is>
      </c>
      <c r="K17" s="107" t="n"/>
      <c r="L17" s="107" t="n">
        <v>800</v>
      </c>
      <c r="M17" s="107">
        <f>K17-L17</f>
        <v/>
      </c>
      <c r="N17" s="107" t="inlineStr">
        <is>
          <t xml:space="preserve"> =</t>
        </is>
      </c>
      <c r="O17" s="108" t="n">
        <v>-800</v>
      </c>
    </row>
    <row r="18" ht="17" customHeight="1">
      <c r="B18" s="17" t="n"/>
      <c r="C18" s="346" t="inlineStr">
        <is>
          <t>Uzwil</t>
        </is>
      </c>
      <c r="D18" s="343" t="n"/>
      <c r="E18" s="132" t="n">
        <v>0</v>
      </c>
      <c r="F18" s="132" t="n">
        <v>0</v>
      </c>
      <c r="G18" s="134" t="n"/>
      <c r="H18" s="125" t="n"/>
      <c r="I18" s="106" t="n"/>
      <c r="J18" s="346" t="inlineStr">
        <is>
          <t>Uzwil</t>
        </is>
      </c>
      <c r="K18" s="109" t="n"/>
      <c r="L18" s="109" t="n">
        <v>400</v>
      </c>
      <c r="M18" s="109">
        <f>K18-L18</f>
        <v/>
      </c>
      <c r="N18" s="109" t="inlineStr">
        <is>
          <t xml:space="preserve"> =</t>
        </is>
      </c>
      <c r="O18" s="110" t="n">
        <v>-400</v>
      </c>
    </row>
    <row r="19" ht="18" customHeight="1" thickBot="1">
      <c r="B19" s="17" t="n"/>
      <c r="C19" s="120" t="inlineStr">
        <is>
          <t>Flow In</t>
        </is>
      </c>
      <c r="D19" s="126" t="n"/>
      <c r="E19" s="126" t="n"/>
      <c r="F19" s="126" t="n"/>
      <c r="G19" s="126" t="n"/>
      <c r="H19" s="112" t="n"/>
      <c r="I19" s="106" t="n"/>
      <c r="J19" s="119" t="inlineStr">
        <is>
          <t>St.Gallen</t>
        </is>
      </c>
      <c r="K19" s="107" t="n">
        <v>500</v>
      </c>
      <c r="L19" s="107" t="n"/>
      <c r="M19" s="107">
        <f>K19-L19</f>
        <v/>
      </c>
      <c r="N19" s="107" t="inlineStr">
        <is>
          <t xml:space="preserve"> =</t>
        </is>
      </c>
      <c r="O19" s="108" t="n">
        <v>500</v>
      </c>
    </row>
    <row r="20" ht="18" customHeight="1" thickBot="1">
      <c r="B20" s="17" t="n"/>
      <c r="C20" s="46" t="n"/>
      <c r="D20" s="106" t="n"/>
      <c r="E20" s="106" t="n"/>
      <c r="F20" s="106" t="n"/>
      <c r="G20" s="106" t="n"/>
      <c r="H20" s="106" t="n"/>
      <c r="I20" s="106" t="n"/>
      <c r="J20" s="119" t="inlineStr">
        <is>
          <t>Zürich</t>
        </is>
      </c>
      <c r="K20" s="107" t="n">
        <v>600</v>
      </c>
      <c r="L20" s="107" t="n"/>
      <c r="M20" s="107">
        <f>K20-L20</f>
        <v/>
      </c>
      <c r="N20" s="107" t="inlineStr">
        <is>
          <t xml:space="preserve"> =</t>
        </is>
      </c>
      <c r="O20" s="108" t="n">
        <v>600</v>
      </c>
    </row>
    <row r="21" ht="17" customHeight="1">
      <c r="B21" s="17" t="n"/>
      <c r="C21" s="347" t="inlineStr">
        <is>
          <t>Costs</t>
        </is>
      </c>
      <c r="D21" s="452" t="inlineStr">
        <is>
          <t>To</t>
        </is>
      </c>
      <c r="E21" s="494" t="n"/>
      <c r="F21" s="494" t="n"/>
      <c r="G21" s="495" t="n"/>
      <c r="H21" s="106" t="n"/>
      <c r="I21" s="106" t="n"/>
      <c r="J21" s="119" t="inlineStr">
        <is>
          <t>Bad Ragaz</t>
        </is>
      </c>
      <c r="K21" s="107" t="n">
        <v>900</v>
      </c>
      <c r="L21" s="107" t="n"/>
      <c r="M21" s="107">
        <f>K21-L21</f>
        <v/>
      </c>
      <c r="N21" s="130" t="inlineStr">
        <is>
          <t>=</t>
        </is>
      </c>
      <c r="O21" s="108" t="n">
        <v>900</v>
      </c>
    </row>
    <row r="22" ht="17" customHeight="1">
      <c r="B22" s="17" t="n"/>
      <c r="C22" s="335" t="inlineStr">
        <is>
          <t>From</t>
        </is>
      </c>
      <c r="D22" s="117" t="inlineStr">
        <is>
          <t>St.Gallen</t>
        </is>
      </c>
      <c r="E22" s="117" t="inlineStr">
        <is>
          <t>Zürich</t>
        </is>
      </c>
      <c r="F22" s="117" t="inlineStr">
        <is>
          <t>Bad Ragaz</t>
        </is>
      </c>
      <c r="G22" s="118" t="inlineStr">
        <is>
          <t>Bern</t>
        </is>
      </c>
      <c r="H22" s="106" t="n"/>
      <c r="I22" s="106" t="n"/>
      <c r="J22" s="346" t="inlineStr">
        <is>
          <t>Bern</t>
        </is>
      </c>
      <c r="K22" s="109" t="n">
        <v>700</v>
      </c>
      <c r="L22" s="109" t="n"/>
      <c r="M22" s="109">
        <f>K22-L22</f>
        <v/>
      </c>
      <c r="N22" s="109" t="inlineStr">
        <is>
          <t xml:space="preserve"> =</t>
        </is>
      </c>
      <c r="O22" s="110" t="n">
        <v>700</v>
      </c>
    </row>
    <row r="23" ht="18" customHeight="1" thickBot="1">
      <c r="B23" s="17" t="n"/>
      <c r="C23" s="119" t="inlineStr">
        <is>
          <t>Luzern</t>
        </is>
      </c>
      <c r="D23" s="438" t="n">
        <v>5</v>
      </c>
      <c r="E23" s="438" t="n">
        <v>5</v>
      </c>
      <c r="F23" s="438" t="inlineStr">
        <is>
          <t>-</t>
        </is>
      </c>
      <c r="G23" s="103" t="n">
        <v>2</v>
      </c>
      <c r="H23" s="438" t="n"/>
      <c r="I23" s="106" t="n"/>
      <c r="J23" s="127" t="n"/>
      <c r="K23" s="113" t="n"/>
      <c r="L23" s="113" t="n"/>
      <c r="M23" s="113" t="inlineStr">
        <is>
          <t>LHS</t>
        </is>
      </c>
      <c r="N23" s="113" t="inlineStr">
        <is>
          <t>Sign</t>
        </is>
      </c>
      <c r="O23" s="114" t="inlineStr">
        <is>
          <t>RHS</t>
        </is>
      </c>
    </row>
    <row r="24" ht="17" customHeight="1">
      <c r="B24" s="17" t="n"/>
      <c r="C24" s="119" t="inlineStr">
        <is>
          <t>Aarau</t>
        </is>
      </c>
      <c r="D24" s="438" t="inlineStr">
        <is>
          <t>-</t>
        </is>
      </c>
      <c r="E24" s="438" t="n">
        <v>3</v>
      </c>
      <c r="F24" s="438" t="n">
        <v>6</v>
      </c>
      <c r="G24" s="103" t="n">
        <v>2</v>
      </c>
      <c r="H24" s="106" t="n"/>
      <c r="I24" s="106" t="n"/>
      <c r="J24" s="17" t="n"/>
      <c r="K24" s="17" t="n"/>
      <c r="L24" s="17" t="n"/>
      <c r="M24" s="17" t="n"/>
      <c r="N24" s="17" t="n"/>
      <c r="O24" s="17" t="n"/>
    </row>
    <row r="25" ht="17" customHeight="1">
      <c r="B25" s="17" t="n"/>
      <c r="C25" s="119" t="inlineStr">
        <is>
          <t>Amriswil</t>
        </is>
      </c>
      <c r="D25" s="438" t="n">
        <v>4</v>
      </c>
      <c r="E25" s="438" t="inlineStr">
        <is>
          <t>-</t>
        </is>
      </c>
      <c r="F25" s="438" t="n">
        <v>8</v>
      </c>
      <c r="G25" s="103" t="n">
        <v>1</v>
      </c>
      <c r="H25" s="106" t="n"/>
      <c r="I25" s="106" t="n"/>
      <c r="J25" s="17" t="n"/>
      <c r="K25" s="17" t="n"/>
      <c r="L25" s="17" t="n"/>
      <c r="M25" s="17" t="n"/>
      <c r="N25" s="17" t="n"/>
      <c r="O25" s="17" t="n"/>
    </row>
    <row r="26" ht="18" customHeight="1" thickBot="1">
      <c r="B26" s="17" t="n"/>
      <c r="C26" s="120" t="inlineStr">
        <is>
          <t>Uzwil</t>
        </is>
      </c>
      <c r="D26" s="104" t="n">
        <v>2</v>
      </c>
      <c r="E26" s="104" t="n">
        <v>5</v>
      </c>
      <c r="F26" s="104" t="n">
        <v>7</v>
      </c>
      <c r="G26" s="105" t="inlineStr">
        <is>
          <t>-</t>
        </is>
      </c>
      <c r="H26" s="106" t="n"/>
      <c r="I26" s="106" t="n"/>
      <c r="J26" s="128" t="n"/>
      <c r="K26" s="128" t="n"/>
      <c r="L26" s="128" t="n"/>
      <c r="M26" s="128" t="n"/>
      <c r="N26" s="106" t="n"/>
      <c r="O26" s="106" t="n"/>
    </row>
    <row r="27" ht="18" customHeight="1" thickBot="1">
      <c r="B27" s="17" t="n"/>
      <c r="C27" s="129" t="inlineStr">
        <is>
          <t>Total costs</t>
        </is>
      </c>
      <c r="D27" s="425" t="n"/>
      <c r="E27" s="111" t="n"/>
      <c r="F27" s="111" t="n"/>
      <c r="G27" s="112" t="n"/>
      <c r="H27" s="106" t="n"/>
      <c r="I27" s="106" t="n"/>
      <c r="J27" s="128" t="n"/>
      <c r="K27" s="128" t="n"/>
      <c r="L27" s="128" t="n"/>
      <c r="M27" s="128" t="n"/>
      <c r="N27" s="106" t="n"/>
      <c r="O27" s="106" t="n"/>
    </row>
    <row r="28" ht="17" customHeight="1">
      <c r="B28" s="17" t="n"/>
      <c r="C28" s="106" t="n"/>
      <c r="D28" s="106" t="n"/>
      <c r="E28" s="106" t="n"/>
      <c r="F28" s="106" t="n"/>
      <c r="G28" s="106" t="n"/>
      <c r="H28" s="106" t="n"/>
      <c r="I28" s="106" t="n"/>
      <c r="J28" s="128" t="n"/>
      <c r="K28" s="128" t="n"/>
      <c r="L28" s="128" t="n"/>
      <c r="M28" s="128" t="n"/>
      <c r="N28" s="106" t="n"/>
      <c r="O28" s="106" t="n"/>
    </row>
    <row r="29" ht="17" customHeight="1">
      <c r="B29" s="17" t="n"/>
      <c r="C29" s="97" t="n"/>
      <c r="D29" s="77" t="n"/>
      <c r="E29" s="77" t="n"/>
      <c r="F29" s="77" t="n"/>
      <c r="G29" s="17" t="n"/>
      <c r="H29" s="106" t="n"/>
      <c r="I29" s="106" t="n"/>
      <c r="J29" s="128" t="n"/>
      <c r="K29" s="128" t="n"/>
      <c r="L29" s="128" t="n"/>
      <c r="M29" s="128" t="n"/>
      <c r="N29" s="106" t="n"/>
      <c r="O29" s="106" t="n"/>
    </row>
    <row r="30">
      <c r="B30" s="17" t="n"/>
      <c r="C30" s="97" t="n"/>
      <c r="D30" s="77" t="n"/>
      <c r="E30" s="77" t="n"/>
      <c r="F30" s="77" t="n"/>
      <c r="G30" s="17" t="n"/>
      <c r="H30" s="97" t="n"/>
      <c r="I30" s="77" t="n"/>
      <c r="J30" s="77" t="n"/>
      <c r="K30" s="77" t="n"/>
      <c r="L30" s="97" t="n"/>
    </row>
    <row r="31">
      <c r="B31" s="17" t="n"/>
      <c r="C31" s="97" t="n"/>
      <c r="D31" s="77" t="n"/>
      <c r="E31" s="77" t="n"/>
      <c r="F31" s="77" t="n"/>
      <c r="G31" s="17" t="n"/>
      <c r="H31" s="97" t="n"/>
      <c r="I31" s="77" t="n"/>
      <c r="J31" s="77" t="n"/>
      <c r="K31" s="77" t="n"/>
      <c r="L31" s="97" t="n"/>
    </row>
    <row r="32">
      <c r="B32" s="17" t="n"/>
      <c r="C32" s="97" t="n"/>
      <c r="D32" s="77" t="n"/>
      <c r="E32" s="77" t="n"/>
      <c r="F32" s="77" t="n"/>
      <c r="G32" s="17" t="n"/>
      <c r="H32" s="97" t="n"/>
      <c r="I32" s="77" t="n"/>
      <c r="J32" s="77" t="n"/>
      <c r="K32" s="77" t="n"/>
      <c r="L32" s="97" t="n"/>
    </row>
    <row r="33">
      <c r="B33" s="17" t="n"/>
      <c r="C33" s="97" t="n"/>
      <c r="D33" s="77" t="n"/>
      <c r="E33" s="77" t="n"/>
      <c r="F33" s="77" t="n"/>
      <c r="G33" s="17" t="n"/>
      <c r="H33" s="97" t="n"/>
      <c r="I33" s="77" t="n"/>
      <c r="J33" s="77" t="n"/>
      <c r="K33" s="77" t="n"/>
      <c r="L33" s="97" t="n"/>
    </row>
    <row r="34">
      <c r="B34" s="17" t="n"/>
      <c r="C34" s="97" t="n"/>
      <c r="D34" s="77" t="n"/>
      <c r="E34" s="77" t="n"/>
      <c r="F34" s="77" t="n"/>
      <c r="G34" s="17" t="n"/>
      <c r="H34" s="97" t="n"/>
      <c r="I34" s="77" t="n"/>
      <c r="J34" s="77" t="n"/>
      <c r="K34" s="77" t="n"/>
      <c r="L34" s="97" t="n"/>
    </row>
    <row r="35">
      <c r="B35" s="17" t="n"/>
      <c r="C35" s="97" t="n"/>
      <c r="D35" s="77" t="n"/>
      <c r="E35" s="77" t="n"/>
      <c r="F35" s="77" t="n"/>
      <c r="G35" s="77" t="n"/>
      <c r="H35" s="97" t="n"/>
      <c r="I35" s="77" t="n"/>
      <c r="J35" s="77" t="n"/>
      <c r="K35" s="77" t="n"/>
      <c r="L35" s="97" t="n"/>
    </row>
    <row r="36">
      <c r="B36" s="17" t="n"/>
      <c r="H36" s="97" t="n"/>
      <c r="I36" s="97" t="n"/>
      <c r="J36" s="97" t="n"/>
      <c r="K36" s="97" t="n"/>
      <c r="L36" s="97" t="n"/>
    </row>
  </sheetData>
  <mergeCells count="4">
    <mergeCell ref="D21:G21"/>
    <mergeCell ref="J13:O13"/>
    <mergeCell ref="D13:G13"/>
    <mergeCell ref="D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25">
    <outlinePr summaryBelow="1" summaryRight="1"/>
    <pageSetUpPr/>
  </sheetPr>
  <dimension ref="A1:J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0" sqref="H30"/>
    </sheetView>
  </sheetViews>
  <sheetFormatPr baseColWidth="10" defaultColWidth="8.83203125" defaultRowHeight="15"/>
  <cols>
    <col width="3.5" customWidth="1" style="348" min="1" max="1"/>
    <col width="21.6640625" customWidth="1" min="3" max="3"/>
    <col width="19.33203125" customWidth="1" min="4" max="4"/>
    <col width="20.1640625" customWidth="1" min="5" max="5"/>
    <col width="15.6640625" customWidth="1" min="6" max="6"/>
    <col width="31.1640625" customWidth="1" min="7" max="7"/>
    <col width="24.1640625" customWidth="1" min="8" max="8"/>
  </cols>
  <sheetData>
    <row r="1" customFormat="1" s="348"/>
    <row r="2" ht="16" customHeight="1" thickBot="1"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>
      <c r="B3" s="17" t="n"/>
      <c r="C3" s="497" t="inlineStr">
        <is>
          <t>Information</t>
        </is>
      </c>
      <c r="D3" s="488" t="n"/>
      <c r="E3" s="488" t="n"/>
      <c r="F3" s="488" t="n"/>
      <c r="G3" s="489" t="n"/>
      <c r="H3" s="226" t="n"/>
      <c r="I3" s="17" t="n"/>
      <c r="J3" s="17" t="n"/>
    </row>
    <row r="4" ht="16" customHeight="1" thickBot="1">
      <c r="B4" s="17" t="n"/>
      <c r="C4" s="498" t="n"/>
      <c r="D4" s="499" t="n"/>
      <c r="E4" s="499" t="n"/>
      <c r="F4" s="499" t="n"/>
      <c r="G4" s="500" t="n"/>
      <c r="H4" s="226" t="n"/>
      <c r="I4" s="17" t="n"/>
      <c r="J4" s="17" t="n"/>
    </row>
    <row r="5">
      <c r="B5" s="17" t="n"/>
      <c r="C5" s="227" t="inlineStr">
        <is>
          <t>LT - Lead time</t>
        </is>
      </c>
      <c r="D5" s="228" t="n"/>
      <c r="E5" s="228" t="n"/>
      <c r="F5" s="229" t="n">
        <v>6</v>
      </c>
      <c r="G5" s="230" t="inlineStr">
        <is>
          <t>weeks</t>
        </is>
      </c>
      <c r="H5" s="17" t="n"/>
      <c r="I5" s="17" t="n"/>
      <c r="J5" s="17" t="n"/>
    </row>
    <row r="6">
      <c r="B6" s="17" t="n"/>
      <c r="C6" s="227" t="inlineStr">
        <is>
          <t>c - Product costs</t>
        </is>
      </c>
      <c r="D6" s="228" t="n"/>
      <c r="E6" s="228" t="n"/>
      <c r="F6" s="231" t="n">
        <v>150</v>
      </c>
      <c r="G6" s="230" t="inlineStr">
        <is>
          <t>CHF/unit</t>
        </is>
      </c>
      <c r="H6" s="17" t="n"/>
      <c r="I6" s="17" t="n"/>
      <c r="J6" s="17" t="n"/>
    </row>
    <row r="7">
      <c r="B7" s="17" t="n"/>
      <c r="C7" s="227" t="inlineStr">
        <is>
          <t>p - Penalty costs (out of stock costs)</t>
        </is>
      </c>
      <c r="D7" s="228" t="n"/>
      <c r="E7" s="228" t="n"/>
      <c r="F7" s="231" t="n">
        <v>45</v>
      </c>
      <c r="G7" s="230" t="inlineStr">
        <is>
          <t>CHF/unit/week</t>
        </is>
      </c>
      <c r="H7" s="17" t="n"/>
      <c r="I7" s="17" t="n"/>
      <c r="J7" s="17" t="n"/>
    </row>
    <row r="8">
      <c r="B8" s="17" t="n"/>
      <c r="C8" s="227" t="inlineStr">
        <is>
          <t>% - Holding costs rate</t>
        </is>
      </c>
      <c r="D8" s="228" t="n"/>
      <c r="E8" s="228" t="n"/>
      <c r="F8" s="232" t="n">
        <v>0.2</v>
      </c>
      <c r="G8" s="230" t="inlineStr">
        <is>
          <t>/unit/week</t>
        </is>
      </c>
      <c r="H8" s="17" t="n"/>
      <c r="I8" s="17" t="n"/>
      <c r="J8" s="17" t="n"/>
    </row>
    <row r="9">
      <c r="B9" s="17" t="n"/>
      <c r="C9" s="227" t="inlineStr">
        <is>
          <t>h - Holding costs (c*%)</t>
        </is>
      </c>
      <c r="D9" s="228" t="n"/>
      <c r="E9" s="228" t="n"/>
      <c r="F9" s="231">
        <f>F8*F6</f>
        <v/>
      </c>
      <c r="G9" s="230" t="inlineStr">
        <is>
          <t>CHF/unit/week</t>
        </is>
      </c>
      <c r="H9" s="17" t="n"/>
      <c r="I9" s="17" t="n"/>
      <c r="J9" s="17" t="n"/>
    </row>
    <row r="10">
      <c r="B10" s="17" t="n"/>
      <c r="C10" s="227" t="inlineStr">
        <is>
          <t>CR - Critical ratio (out of stock ratio)</t>
        </is>
      </c>
      <c r="D10" s="228" t="n"/>
      <c r="E10" s="228" t="n"/>
      <c r="F10" s="233" t="n"/>
      <c r="G10" s="230" t="n"/>
      <c r="H10" s="234" t="n"/>
      <c r="I10" s="17" t="n"/>
      <c r="J10" s="17" t="n"/>
    </row>
    <row r="11">
      <c r="B11" s="17" t="n"/>
      <c r="C11" s="227" t="inlineStr">
        <is>
          <t>z* - z-value of the critical ratio</t>
        </is>
      </c>
      <c r="D11" s="228" t="n"/>
      <c r="E11" s="228" t="n"/>
      <c r="F11" s="235" t="n"/>
      <c r="G11" s="230" t="n"/>
      <c r="H11" s="234" t="n"/>
      <c r="I11" s="17" t="n"/>
      <c r="J11" s="17" t="n"/>
    </row>
    <row r="12" ht="16" customHeight="1" thickBot="1">
      <c r="B12" s="17" t="n"/>
      <c r="C12" s="236" t="inlineStr">
        <is>
          <t>f01 (z*)</t>
        </is>
      </c>
      <c r="D12" s="237" t="n"/>
      <c r="E12" s="237" t="n"/>
      <c r="F12" s="238" t="n"/>
      <c r="G12" s="239" t="n"/>
      <c r="H12" s="234" t="n"/>
      <c r="I12" s="17" t="n"/>
      <c r="J12" s="17" t="n"/>
    </row>
    <row r="13" ht="16" customHeight="1" thickBot="1"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</row>
    <row r="14" ht="16" customHeight="1" thickBot="1">
      <c r="B14" s="17" t="n"/>
      <c r="C14" s="501" t="inlineStr">
        <is>
          <t>Without postponement</t>
        </is>
      </c>
      <c r="D14" s="491" t="n"/>
      <c r="E14" s="491" t="n"/>
      <c r="F14" s="491" t="n"/>
      <c r="G14" s="491" t="n"/>
      <c r="H14" s="492" t="n"/>
      <c r="I14" s="17" t="n"/>
      <c r="J14" s="17" t="n"/>
    </row>
    <row r="15">
      <c r="B15" s="17" t="n"/>
      <c r="C15" s="240" t="n"/>
      <c r="D15" s="241" t="inlineStr">
        <is>
          <t>μ</t>
        </is>
      </c>
      <c r="E15" s="242" t="inlineStr">
        <is>
          <t>σ</t>
        </is>
      </c>
      <c r="F15" s="242" t="inlineStr">
        <is>
          <t>CV</t>
        </is>
      </c>
      <c r="G15" s="242" t="inlineStr">
        <is>
          <t>Optimum target inventory level S*</t>
        </is>
      </c>
      <c r="H15" s="243" t="inlineStr">
        <is>
          <t>Costs Z*</t>
        </is>
      </c>
      <c r="I15" s="17" t="n"/>
      <c r="J15" s="17" t="n"/>
    </row>
    <row r="16" ht="17" customHeight="1">
      <c r="B16" s="17" t="n"/>
      <c r="C16" s="244" t="n"/>
      <c r="D16" s="245" t="n"/>
      <c r="E16" s="246" t="n"/>
      <c r="F16" s="246" t="n"/>
      <c r="G16" s="247" t="inlineStr">
        <is>
          <t>S* =  mLT+1 + z* sLT+1</t>
        </is>
      </c>
      <c r="H16" s="248" t="inlineStr">
        <is>
          <t>Z* = (h + p)f01(z*)sLT+1</t>
        </is>
      </c>
      <c r="I16" s="17" t="n"/>
      <c r="J16" s="17" t="n"/>
    </row>
    <row r="17">
      <c r="B17" s="17" t="n"/>
      <c r="C17" s="249" t="inlineStr">
        <is>
          <t>Country</t>
        </is>
      </c>
      <c r="D17" s="250" t="inlineStr">
        <is>
          <t>units/week</t>
        </is>
      </c>
      <c r="E17" s="251" t="inlineStr">
        <is>
          <t>units/week</t>
        </is>
      </c>
      <c r="F17" s="251" t="inlineStr">
        <is>
          <t xml:space="preserve">- </t>
        </is>
      </c>
      <c r="G17" s="251" t="inlineStr">
        <is>
          <t>units</t>
        </is>
      </c>
      <c r="H17" s="252" t="inlineStr">
        <is>
          <t>CHF/week</t>
        </is>
      </c>
      <c r="I17" s="17" t="n"/>
      <c r="J17" s="17" t="n"/>
    </row>
    <row r="18">
      <c r="B18" s="17" t="n"/>
      <c r="C18" s="244" t="inlineStr">
        <is>
          <t>Switzerland</t>
        </is>
      </c>
      <c r="D18" s="253" t="n">
        <v>1000</v>
      </c>
      <c r="E18" s="254" t="n">
        <v>220</v>
      </c>
      <c r="F18" s="255">
        <f>E18/D18</f>
        <v/>
      </c>
      <c r="G18" s="256" t="n"/>
      <c r="H18" s="257" t="n"/>
      <c r="I18" s="17" t="n"/>
      <c r="J18" s="17" t="n"/>
    </row>
    <row r="19">
      <c r="B19" s="17" t="n"/>
      <c r="C19" s="244" t="inlineStr">
        <is>
          <t>Germany</t>
        </is>
      </c>
      <c r="D19" s="253" t="n">
        <v>650</v>
      </c>
      <c r="E19" s="254" t="n">
        <v>200</v>
      </c>
      <c r="F19" s="255">
        <f>E19/D19</f>
        <v/>
      </c>
      <c r="G19" s="256" t="n"/>
      <c r="H19" s="257" t="n"/>
      <c r="I19" s="17" t="n"/>
      <c r="J19" s="17" t="n"/>
    </row>
    <row r="20">
      <c r="B20" s="17" t="n"/>
      <c r="C20" s="244" t="inlineStr">
        <is>
          <t>Austria</t>
        </is>
      </c>
      <c r="D20" s="253" t="n">
        <v>200</v>
      </c>
      <c r="E20" s="254" t="n">
        <v>85</v>
      </c>
      <c r="F20" s="255">
        <f>E20/D20</f>
        <v/>
      </c>
      <c r="G20" s="256" t="n"/>
      <c r="H20" s="257" t="n"/>
      <c r="I20" s="17" t="n"/>
      <c r="J20" s="17" t="n"/>
    </row>
    <row r="21" ht="16" customHeight="1" thickBot="1">
      <c r="B21" s="17" t="n"/>
      <c r="C21" s="258" t="inlineStr">
        <is>
          <t>Sum</t>
        </is>
      </c>
      <c r="D21" s="259" t="n"/>
      <c r="E21" s="260" t="n"/>
      <c r="F21" s="260" t="n"/>
      <c r="G21" s="261" t="n"/>
      <c r="H21" s="261" t="n"/>
      <c r="I21" s="17" t="n"/>
      <c r="J21" s="17" t="n"/>
    </row>
    <row r="22" ht="16" customHeight="1" thickBot="1"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 ht="16" customHeight="1" thickBot="1">
      <c r="B23" s="17" t="n"/>
      <c r="C23" s="501" t="inlineStr">
        <is>
          <t>With postponement</t>
        </is>
      </c>
      <c r="D23" s="491" t="n"/>
      <c r="E23" s="491" t="n"/>
      <c r="F23" s="491" t="n"/>
      <c r="G23" s="491" t="n"/>
      <c r="H23" s="492" t="n"/>
      <c r="I23" s="17" t="n"/>
      <c r="J23" s="17" t="n"/>
    </row>
    <row r="24">
      <c r="B24" s="17" t="n"/>
      <c r="C24" s="244" t="n"/>
      <c r="D24" s="262" t="inlineStr">
        <is>
          <t>μ</t>
        </is>
      </c>
      <c r="E24" s="263" t="inlineStr">
        <is>
          <t>σ</t>
        </is>
      </c>
      <c r="F24" s="264" t="inlineStr">
        <is>
          <t>CV</t>
        </is>
      </c>
      <c r="G24" s="242" t="inlineStr">
        <is>
          <t>Optimum target inventory level S*</t>
        </is>
      </c>
      <c r="H24" s="243" t="inlineStr">
        <is>
          <t>Costs Z*</t>
        </is>
      </c>
      <c r="I24" s="17" t="n"/>
      <c r="J24" s="17" t="n"/>
    </row>
    <row r="25" ht="17" customHeight="1">
      <c r="B25" s="17" t="n"/>
      <c r="C25" s="244" t="n"/>
      <c r="D25" s="245" t="n"/>
      <c r="E25" s="246" t="n"/>
      <c r="F25" s="264" t="n"/>
      <c r="G25" s="265" t="inlineStr">
        <is>
          <t>S* =  mLT+1 + z* sLT+1</t>
        </is>
      </c>
      <c r="H25" s="248" t="inlineStr">
        <is>
          <t>Z* = (h + p)f01(z*)sLT+1</t>
        </is>
      </c>
      <c r="I25" s="17" t="n"/>
      <c r="J25" s="17" t="n"/>
    </row>
    <row r="26">
      <c r="B26" s="17" t="n"/>
      <c r="C26" s="266" t="n"/>
      <c r="D26" s="250" t="inlineStr">
        <is>
          <t>units/week</t>
        </is>
      </c>
      <c r="E26" s="251" t="inlineStr">
        <is>
          <t>units/week</t>
        </is>
      </c>
      <c r="F26" s="268" t="inlineStr">
        <is>
          <t xml:space="preserve">- </t>
        </is>
      </c>
      <c r="G26" s="267" t="inlineStr">
        <is>
          <t>units</t>
        </is>
      </c>
      <c r="H26" s="269" t="inlineStr">
        <is>
          <t>CHF/week</t>
        </is>
      </c>
      <c r="I26" s="17" t="n"/>
      <c r="J26" s="17" t="n"/>
    </row>
    <row r="27" ht="16" customHeight="1" thickBot="1">
      <c r="B27" s="17" t="n"/>
      <c r="C27" s="270" t="inlineStr">
        <is>
          <t>With postponement</t>
        </is>
      </c>
      <c r="D27" s="271" t="n"/>
      <c r="E27" s="271" t="n"/>
      <c r="F27" s="272" t="n"/>
      <c r="G27" s="256" t="n"/>
      <c r="H27" s="257" t="n"/>
      <c r="I27" s="17" t="n"/>
      <c r="J27" s="17" t="n"/>
    </row>
    <row r="28" ht="16" customHeight="1" thickBot="1"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</row>
    <row r="29" ht="16" customHeight="1" thickBot="1">
      <c r="B29" s="17" t="n"/>
      <c r="C29" s="502" t="inlineStr">
        <is>
          <t>Advantage postponement</t>
        </is>
      </c>
      <c r="D29" s="491" t="n"/>
      <c r="E29" s="491" t="n"/>
      <c r="F29" s="491" t="n"/>
      <c r="G29" s="491" t="n"/>
      <c r="H29" s="492" t="n"/>
      <c r="I29" s="17" t="n"/>
      <c r="J29" s="17" t="n"/>
    </row>
    <row r="30" ht="16" customHeight="1" thickBot="1">
      <c r="B30" s="17" t="n"/>
      <c r="C30" s="273" t="n"/>
      <c r="D30" s="274" t="n"/>
      <c r="E30" s="274" t="n"/>
      <c r="F30" s="275" t="n"/>
      <c r="G30" s="276" t="inlineStr">
        <is>
          <t>in CHF/week</t>
        </is>
      </c>
      <c r="H30" s="426" t="n"/>
      <c r="I30" s="17" t="n"/>
      <c r="J30" s="17" t="n"/>
    </row>
    <row r="31"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</row>
    <row r="32"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</row>
    <row r="33">
      <c r="I33" s="17" t="n"/>
      <c r="J33" s="17" t="n"/>
    </row>
    <row r="34">
      <c r="I34" s="17" t="n"/>
      <c r="J34" s="17" t="n"/>
    </row>
  </sheetData>
  <mergeCells count="4">
    <mergeCell ref="C14:H14"/>
    <mergeCell ref="C3:G4"/>
    <mergeCell ref="C29:H29"/>
    <mergeCell ref="C23:H23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27">
    <outlinePr summaryBelow="1" summaryRight="1"/>
    <pageSetUpPr/>
  </sheetPr>
  <dimension ref="A1:W46"/>
  <sheetViews>
    <sheetView zoomScale="108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37" sqref="R37"/>
    </sheetView>
  </sheetViews>
  <sheetFormatPr baseColWidth="10" defaultColWidth="9" defaultRowHeight="15"/>
  <cols>
    <col width="3.33203125" customWidth="1" style="348" min="1" max="1"/>
    <col width="11" customWidth="1" min="4" max="4"/>
    <col width="12.33203125" customWidth="1" min="5" max="6"/>
    <col width="10.6640625" customWidth="1" min="7" max="7"/>
    <col width="14.1640625" customWidth="1" min="8" max="8"/>
    <col width="11.6640625" customWidth="1" min="9" max="9"/>
    <col width="11.6640625" customWidth="1" min="11" max="11"/>
    <col width="14.33203125" customWidth="1" min="12" max="12"/>
    <col width="11.33203125" customWidth="1" min="13" max="13"/>
    <col width="9.33203125" customWidth="1" min="14" max="14"/>
    <col width="11" customWidth="1" min="15" max="15"/>
    <col width="10.33203125" customWidth="1" min="16" max="16"/>
    <col width="11.6640625" customWidth="1" min="17" max="17"/>
    <col width="13.1640625" customWidth="1" min="18" max="18"/>
    <col width="13.83203125" customWidth="1" min="20" max="20"/>
    <col width="16.6640625" customWidth="1" min="21" max="21"/>
  </cols>
  <sheetData>
    <row r="1" customFormat="1" s="348"/>
    <row r="2"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</row>
    <row r="3" ht="27.5" customHeight="1">
      <c r="B3" s="17" t="n"/>
      <c r="C3" s="280" t="n"/>
      <c r="D3" s="280" t="n"/>
      <c r="E3" s="280" t="n"/>
      <c r="F3" s="280" t="n"/>
      <c r="G3" s="278" t="n"/>
      <c r="H3" s="280" t="n"/>
      <c r="I3" s="280" t="n"/>
      <c r="J3" s="280" t="n"/>
      <c r="K3" s="280" t="n"/>
      <c r="L3" s="280" t="n"/>
      <c r="M3" s="280" t="n"/>
      <c r="N3" s="280" t="n"/>
      <c r="O3" s="280" t="n"/>
      <c r="P3" s="280" t="n"/>
      <c r="Q3" s="280" t="n"/>
      <c r="R3" s="280" t="n"/>
      <c r="S3" s="277" t="n"/>
      <c r="T3" s="277" t="n"/>
      <c r="U3" s="277" t="n"/>
      <c r="V3" s="277" t="n"/>
      <c r="W3" s="281" t="n"/>
    </row>
    <row r="4" ht="6.5" customHeight="1" thickBot="1">
      <c r="B4" s="17" t="n"/>
      <c r="C4" s="280" t="n"/>
      <c r="D4" s="280" t="n"/>
      <c r="E4" s="280" t="n"/>
      <c r="F4" s="280" t="n"/>
      <c r="G4" s="278" t="n"/>
      <c r="H4" s="280" t="n"/>
      <c r="I4" s="280" t="n"/>
      <c r="J4" s="280" t="n"/>
      <c r="K4" s="280" t="n"/>
      <c r="L4" s="280" t="n"/>
      <c r="M4" s="280" t="n"/>
      <c r="N4" s="278" t="n"/>
      <c r="O4" s="280" t="n"/>
      <c r="P4" s="280" t="n"/>
      <c r="Q4" s="280" t="n"/>
      <c r="R4" s="280" t="n"/>
      <c r="S4" s="277" t="n"/>
      <c r="T4" s="277" t="n"/>
      <c r="U4" s="277" t="n"/>
      <c r="V4" s="277" t="n"/>
      <c r="W4" s="281" t="n"/>
    </row>
    <row r="5" ht="32" customHeight="1" thickBot="1">
      <c r="B5" s="17" t="n"/>
      <c r="C5" s="288" t="inlineStr">
        <is>
          <t>Day</t>
        </is>
      </c>
      <c r="D5" s="289" t="inlineStr">
        <is>
          <t>Begin inventory</t>
        </is>
      </c>
      <c r="E5" s="289" t="inlineStr">
        <is>
          <t>Units received</t>
        </is>
      </c>
      <c r="F5" s="289" t="inlineStr">
        <is>
          <t>Available inventory</t>
        </is>
      </c>
      <c r="G5" s="289" t="inlineStr">
        <is>
          <t>Demand</t>
        </is>
      </c>
      <c r="H5" s="289" t="inlineStr">
        <is>
          <t>Demand filled</t>
        </is>
      </c>
      <c r="I5" s="289" t="inlineStr">
        <is>
          <t>Stockout</t>
        </is>
      </c>
      <c r="J5" s="289" t="inlineStr">
        <is>
          <t>End inventory</t>
        </is>
      </c>
      <c r="K5" s="289" t="inlineStr">
        <is>
          <t>Units ordered</t>
        </is>
      </c>
      <c r="L5" s="289" t="inlineStr">
        <is>
          <t>End inventory + order</t>
        </is>
      </c>
      <c r="M5" s="289" t="inlineStr">
        <is>
          <t>Place order?</t>
        </is>
      </c>
      <c r="N5" s="289" t="inlineStr">
        <is>
          <t>Lead time</t>
        </is>
      </c>
      <c r="O5" s="289" t="inlineStr">
        <is>
          <t>Arrive on day</t>
        </is>
      </c>
      <c r="P5" s="288" t="inlineStr">
        <is>
          <t>Inventory cost</t>
        </is>
      </c>
      <c r="Q5" s="289" t="inlineStr">
        <is>
          <t>Stockout cost</t>
        </is>
      </c>
      <c r="R5" s="290" t="inlineStr">
        <is>
          <t>Order
cost</t>
        </is>
      </c>
      <c r="S5" s="277" t="n"/>
      <c r="T5" s="465" t="n"/>
      <c r="U5" s="499" t="n"/>
      <c r="V5" s="282" t="n"/>
      <c r="W5" s="279" t="n"/>
    </row>
    <row r="6" ht="17" customHeight="1" thickBot="1">
      <c r="B6" s="17" t="n"/>
      <c r="C6" s="291" t="n">
        <v>1</v>
      </c>
      <c r="D6" s="278" t="n">
        <v>100</v>
      </c>
      <c r="E6" s="278" t="n">
        <v>0</v>
      </c>
      <c r="F6" s="278">
        <f>D6+E6</f>
        <v/>
      </c>
      <c r="G6" s="278" t="n">
        <v>10</v>
      </c>
      <c r="H6" s="292" t="n"/>
      <c r="I6" s="292" t="n"/>
      <c r="J6" s="278">
        <f>F6-H6</f>
        <v/>
      </c>
      <c r="K6" s="292" t="n"/>
      <c r="L6" s="278">
        <f>J6+K6</f>
        <v/>
      </c>
      <c r="M6" s="292" t="n"/>
      <c r="N6" s="278">
        <f>IF(M6=0,0,2)</f>
        <v/>
      </c>
      <c r="O6" s="293">
        <f>IF(M6=1,C6+N6+1,0)</f>
        <v/>
      </c>
      <c r="P6" s="503" t="n"/>
      <c r="Q6" s="504" t="n"/>
      <c r="R6" s="505" t="n"/>
      <c r="S6" s="277" t="n"/>
      <c r="T6" s="288" t="inlineStr">
        <is>
          <t>Demand</t>
        </is>
      </c>
      <c r="U6" s="289" t="inlineStr">
        <is>
          <t>Probability</t>
        </is>
      </c>
      <c r="V6" s="290" t="inlineStr">
        <is>
          <t>Interval</t>
        </is>
      </c>
      <c r="W6" s="279" t="n"/>
    </row>
    <row r="7">
      <c r="B7" s="17" t="n"/>
      <c r="C7" s="291" t="n">
        <v>2</v>
      </c>
      <c r="D7" s="278">
        <f>J6</f>
        <v/>
      </c>
      <c r="E7" s="278">
        <f>COUNTIF($O$6:O6,C7)*$V$14</f>
        <v/>
      </c>
      <c r="F7" s="278">
        <f>D7+E7</f>
        <v/>
      </c>
      <c r="G7" s="278" t="n">
        <v>10</v>
      </c>
      <c r="H7" s="292" t="n"/>
      <c r="I7" s="292" t="n"/>
      <c r="J7" s="278">
        <f>F7-H7</f>
        <v/>
      </c>
      <c r="K7" s="292" t="n"/>
      <c r="L7" s="278">
        <f>J7+K7</f>
        <v/>
      </c>
      <c r="M7" s="292" t="n"/>
      <c r="N7" s="278">
        <f>IF(M7=0,0,2)</f>
        <v/>
      </c>
      <c r="O7" s="293">
        <f>IF(M7=1,C7+N7+1,0)</f>
        <v/>
      </c>
      <c r="P7" s="503" t="n"/>
      <c r="Q7" s="504" t="n"/>
      <c r="R7" s="505" t="n"/>
      <c r="S7" s="277" t="n"/>
      <c r="T7" s="283" t="n">
        <v>0</v>
      </c>
      <c r="U7" s="294" t="n">
        <v>0.05</v>
      </c>
      <c r="V7" s="295" t="n">
        <v>0</v>
      </c>
      <c r="W7" s="279" t="n"/>
    </row>
    <row r="8">
      <c r="B8" s="17" t="n"/>
      <c r="C8" s="291" t="n">
        <v>3</v>
      </c>
      <c r="D8" s="278">
        <f>J7</f>
        <v/>
      </c>
      <c r="E8" s="278">
        <f>COUNTIF($O$6:O7,C8)*$V$14</f>
        <v/>
      </c>
      <c r="F8" s="278">
        <f>D8+E8</f>
        <v/>
      </c>
      <c r="G8" s="278" t="n">
        <v>40</v>
      </c>
      <c r="H8" s="292" t="n"/>
      <c r="I8" s="292" t="n"/>
      <c r="J8" s="278">
        <f>F8-H8</f>
        <v/>
      </c>
      <c r="K8" s="292" t="n"/>
      <c r="L8" s="278">
        <f>J8+K8</f>
        <v/>
      </c>
      <c r="M8" s="292" t="n"/>
      <c r="N8" s="278">
        <f>IF(M8=0,0,2)</f>
        <v/>
      </c>
      <c r="O8" s="293">
        <f>IF(M8=1,C8+N8+1,0)</f>
        <v/>
      </c>
      <c r="P8" s="503" t="n"/>
      <c r="Q8" s="504" t="n"/>
      <c r="R8" s="505" t="n"/>
      <c r="S8" s="277" t="n"/>
      <c r="T8" s="291" t="n">
        <v>10</v>
      </c>
      <c r="U8" s="296" t="n">
        <v>0.2</v>
      </c>
      <c r="V8" s="297">
        <f>U7</f>
        <v/>
      </c>
      <c r="W8" s="279" t="n"/>
    </row>
    <row r="9">
      <c r="B9" s="17" t="n"/>
      <c r="C9" s="291" t="n">
        <v>4</v>
      </c>
      <c r="D9" s="278">
        <f>J8</f>
        <v/>
      </c>
      <c r="E9" s="278">
        <f>COUNTIF($O$6:O8,C9)*$V$14</f>
        <v/>
      </c>
      <c r="F9" s="278">
        <f>D9+E9</f>
        <v/>
      </c>
      <c r="G9" s="278" t="n">
        <v>30</v>
      </c>
      <c r="H9" s="292" t="n"/>
      <c r="I9" s="292" t="n"/>
      <c r="J9" s="278">
        <f>F9-H9</f>
        <v/>
      </c>
      <c r="K9" s="292" t="n"/>
      <c r="L9" s="278">
        <f>J9+K9</f>
        <v/>
      </c>
      <c r="M9" s="292" t="n"/>
      <c r="N9" s="278">
        <f>IF(M9=0,0,2)</f>
        <v/>
      </c>
      <c r="O9" s="293">
        <f>IF(M9=1,C9+N9+1,0)</f>
        <v/>
      </c>
      <c r="P9" s="503" t="n"/>
      <c r="Q9" s="504" t="n"/>
      <c r="R9" s="505" t="n"/>
      <c r="S9" s="277" t="n"/>
      <c r="T9" s="291" t="n">
        <v>20</v>
      </c>
      <c r="U9" s="296" t="n">
        <v>0.25</v>
      </c>
      <c r="V9" s="297">
        <f>U8+V8</f>
        <v/>
      </c>
      <c r="W9" s="279" t="n"/>
    </row>
    <row r="10">
      <c r="B10" s="17" t="n"/>
      <c r="C10" s="291" t="n">
        <v>5</v>
      </c>
      <c r="D10" s="278">
        <f>J9</f>
        <v/>
      </c>
      <c r="E10" s="278">
        <f>COUNTIF($O$6:O9,C10)*$V$14</f>
        <v/>
      </c>
      <c r="F10" s="278">
        <f>D10+E10</f>
        <v/>
      </c>
      <c r="G10" s="278" t="n">
        <v>20</v>
      </c>
      <c r="H10" s="292" t="n"/>
      <c r="I10" s="292" t="n"/>
      <c r="J10" s="278">
        <f>F10-H10</f>
        <v/>
      </c>
      <c r="K10" s="292" t="n"/>
      <c r="L10" s="278">
        <f>J10+K10</f>
        <v/>
      </c>
      <c r="M10" s="292" t="n"/>
      <c r="N10" s="278">
        <f>IF(M10=0,0,2)</f>
        <v/>
      </c>
      <c r="O10" s="293">
        <f>IF(M10=1,C10+N10+1,0)</f>
        <v/>
      </c>
      <c r="P10" s="503" t="n"/>
      <c r="Q10" s="504" t="n"/>
      <c r="R10" s="505" t="n"/>
      <c r="S10" s="277" t="n"/>
      <c r="T10" s="291" t="n">
        <v>30</v>
      </c>
      <c r="U10" s="296" t="n">
        <v>0.25</v>
      </c>
      <c r="V10" s="297">
        <f>U9+V9</f>
        <v/>
      </c>
      <c r="W10" s="279" t="n"/>
    </row>
    <row r="11">
      <c r="B11" s="17" t="n"/>
      <c r="C11" s="291" t="n">
        <v>6</v>
      </c>
      <c r="D11" s="278">
        <f>J10</f>
        <v/>
      </c>
      <c r="E11" s="278">
        <f>COUNTIF($O$6:O10,C11)*$V$14</f>
        <v/>
      </c>
      <c r="F11" s="278">
        <f>D11+E11</f>
        <v/>
      </c>
      <c r="G11" s="278" t="n">
        <v>30</v>
      </c>
      <c r="H11" s="292" t="n"/>
      <c r="I11" s="292" t="n"/>
      <c r="J11" s="278">
        <f>F11-H11</f>
        <v/>
      </c>
      <c r="K11" s="292" t="n"/>
      <c r="L11" s="278">
        <f>J11+K11</f>
        <v/>
      </c>
      <c r="M11" s="292" t="n"/>
      <c r="N11" s="278">
        <f>IF(M11=0,0,2)</f>
        <v/>
      </c>
      <c r="O11" s="293">
        <f>IF(M11=1,C11+N11+1,0)</f>
        <v/>
      </c>
      <c r="P11" s="503" t="n"/>
      <c r="Q11" s="504" t="n"/>
      <c r="R11" s="505" t="n"/>
      <c r="S11" s="277" t="n"/>
      <c r="T11" s="291" t="n">
        <v>40</v>
      </c>
      <c r="U11" s="296" t="n">
        <v>0.2</v>
      </c>
      <c r="V11" s="297">
        <f>U10+V10</f>
        <v/>
      </c>
      <c r="W11" s="279" t="n"/>
    </row>
    <row r="12" ht="16" customHeight="1" thickBot="1">
      <c r="B12" s="17" t="n"/>
      <c r="C12" s="291" t="n">
        <v>7</v>
      </c>
      <c r="D12" s="278">
        <f>J11</f>
        <v/>
      </c>
      <c r="E12" s="278">
        <f>COUNTIF($O$6:O11,C12)*$V$14</f>
        <v/>
      </c>
      <c r="F12" s="278">
        <f>D12+E12</f>
        <v/>
      </c>
      <c r="G12" s="278" t="n">
        <v>40</v>
      </c>
      <c r="H12" s="292" t="n"/>
      <c r="I12" s="292" t="n"/>
      <c r="J12" s="278">
        <f>F12-H12</f>
        <v/>
      </c>
      <c r="K12" s="292" t="n"/>
      <c r="L12" s="278">
        <f>J12+K12</f>
        <v/>
      </c>
      <c r="M12" s="292" t="n"/>
      <c r="N12" s="278">
        <f>IF(M12=0,0,1)</f>
        <v/>
      </c>
      <c r="O12" s="293">
        <f>IF(M12=1,C12+N12+1,0)</f>
        <v/>
      </c>
      <c r="P12" s="503" t="n"/>
      <c r="Q12" s="504" t="n"/>
      <c r="R12" s="505" t="n"/>
      <c r="S12" s="277" t="n"/>
      <c r="T12" s="298" t="n">
        <v>50</v>
      </c>
      <c r="U12" s="299" t="n">
        <v>0.05</v>
      </c>
      <c r="V12" s="300">
        <f>U11+V11</f>
        <v/>
      </c>
      <c r="W12" s="279" t="n"/>
    </row>
    <row r="13" ht="16" customHeight="1" thickBot="1">
      <c r="B13" s="17" t="n"/>
      <c r="C13" s="291" t="n">
        <v>8</v>
      </c>
      <c r="D13" s="278">
        <f>J12</f>
        <v/>
      </c>
      <c r="E13" s="278">
        <f>COUNTIF($O$6:O12,C13)*$V$14</f>
        <v/>
      </c>
      <c r="F13" s="278">
        <f>D13+E13</f>
        <v/>
      </c>
      <c r="G13" s="278" t="n">
        <v>20</v>
      </c>
      <c r="H13" s="292" t="n"/>
      <c r="I13" s="292" t="n"/>
      <c r="J13" s="278">
        <f>F13-H13</f>
        <v/>
      </c>
      <c r="K13" s="292" t="n"/>
      <c r="L13" s="278">
        <f>J13+K13</f>
        <v/>
      </c>
      <c r="M13" s="292" t="n"/>
      <c r="N13" s="278">
        <f>IF(M13=0,0,1)</f>
        <v/>
      </c>
      <c r="O13" s="293">
        <f>IF(M13=1,C13+N13+1,0)</f>
        <v/>
      </c>
      <c r="P13" s="503" t="n"/>
      <c r="Q13" s="504" t="n"/>
      <c r="R13" s="505" t="n"/>
      <c r="S13" s="277" t="n"/>
      <c r="T13" s="277" t="n"/>
      <c r="U13" s="277" t="n"/>
      <c r="V13" s="277" t="n"/>
      <c r="W13" s="281" t="n"/>
    </row>
    <row r="14">
      <c r="B14" s="17" t="n"/>
      <c r="C14" s="291" t="n">
        <v>9</v>
      </c>
      <c r="D14" s="278">
        <f>J13</f>
        <v/>
      </c>
      <c r="E14" s="278">
        <f>COUNTIF($O$6:O13,C14)*$V$14</f>
        <v/>
      </c>
      <c r="F14" s="278">
        <f>D14+E14</f>
        <v/>
      </c>
      <c r="G14" s="278" t="n">
        <v>50</v>
      </c>
      <c r="H14" s="292" t="n"/>
      <c r="I14" s="292" t="n"/>
      <c r="J14" s="278">
        <f>F14-H14</f>
        <v/>
      </c>
      <c r="K14" s="292" t="n"/>
      <c r="L14" s="278">
        <f>J14+K14</f>
        <v/>
      </c>
      <c r="M14" s="292" t="n"/>
      <c r="N14" s="278">
        <f>IF(M14=0,0,1)</f>
        <v/>
      </c>
      <c r="O14" s="293">
        <f>IF(M14=1,C14+N14+1,0)</f>
        <v/>
      </c>
      <c r="P14" s="503" t="n"/>
      <c r="Q14" s="504" t="n"/>
      <c r="R14" s="505" t="n"/>
      <c r="S14" s="277" t="n"/>
      <c r="T14" s="301" t="inlineStr">
        <is>
          <t>Order quantity, Q</t>
        </is>
      </c>
      <c r="U14" s="302" t="n"/>
      <c r="V14" s="284" t="n">
        <v>45</v>
      </c>
      <c r="W14" s="281" t="n"/>
    </row>
    <row r="15" ht="16" customHeight="1" thickBot="1">
      <c r="B15" s="17" t="n"/>
      <c r="C15" s="291" t="n">
        <v>10</v>
      </c>
      <c r="D15" s="278">
        <f>J14</f>
        <v/>
      </c>
      <c r="E15" s="278">
        <f>COUNTIF($O$6:O14,C15)*$V$14</f>
        <v/>
      </c>
      <c r="F15" s="278">
        <f>D15+E15</f>
        <v/>
      </c>
      <c r="G15" s="278" t="n">
        <v>10</v>
      </c>
      <c r="H15" s="292" t="n"/>
      <c r="I15" s="292" t="n"/>
      <c r="J15" s="278">
        <f>F15-H15</f>
        <v/>
      </c>
      <c r="K15" s="292" t="n"/>
      <c r="L15" s="278">
        <f>J15+K15</f>
        <v/>
      </c>
      <c r="M15" s="292" t="n"/>
      <c r="N15" s="278">
        <f>IF(M15=0,0,1)</f>
        <v/>
      </c>
      <c r="O15" s="293">
        <f>IF(M15=1,C15+N15+1,0)</f>
        <v/>
      </c>
      <c r="P15" s="503" t="n"/>
      <c r="Q15" s="504" t="n"/>
      <c r="R15" s="505" t="n"/>
      <c r="S15" s="277" t="n"/>
      <c r="T15" s="303" t="inlineStr">
        <is>
          <t>Reorder point, R (ROP)</t>
        </is>
      </c>
      <c r="U15" s="304" t="n"/>
      <c r="V15" s="305" t="n">
        <v>20</v>
      </c>
      <c r="W15" s="279" t="n"/>
    </row>
    <row r="16" ht="16" customHeight="1" thickBot="1">
      <c r="B16" s="17" t="n"/>
      <c r="C16" s="291" t="n">
        <v>11</v>
      </c>
      <c r="D16" s="278">
        <f>J15</f>
        <v/>
      </c>
      <c r="E16" s="278">
        <f>COUNTIF($O$6:O15,C16)*$V$14</f>
        <v/>
      </c>
      <c r="F16" s="278">
        <f>D16+E16</f>
        <v/>
      </c>
      <c r="G16" s="278" t="n">
        <v>30</v>
      </c>
      <c r="H16" s="292" t="n"/>
      <c r="I16" s="292" t="n"/>
      <c r="J16" s="278">
        <f>F16-H16</f>
        <v/>
      </c>
      <c r="K16" s="292" t="n"/>
      <c r="L16" s="278">
        <f>J16+K16</f>
        <v/>
      </c>
      <c r="M16" s="292" t="n"/>
      <c r="N16" s="278">
        <f>IF(M16=0,0,1)</f>
        <v/>
      </c>
      <c r="O16" s="293">
        <f>IF(M16=1,C16+N16+1,0)</f>
        <v/>
      </c>
      <c r="P16" s="503" t="n"/>
      <c r="Q16" s="504" t="n"/>
      <c r="R16" s="505" t="n"/>
      <c r="S16" s="277" t="n"/>
      <c r="T16" s="277" t="n"/>
      <c r="U16" s="277" t="n"/>
      <c r="V16" s="277" t="n"/>
      <c r="W16" s="281" t="n"/>
    </row>
    <row r="17">
      <c r="B17" s="17" t="n"/>
      <c r="C17" s="291" t="n">
        <v>12</v>
      </c>
      <c r="D17" s="278">
        <f>J16</f>
        <v/>
      </c>
      <c r="E17" s="278">
        <f>COUNTIF($O$6:O16,C17)*$V$14</f>
        <v/>
      </c>
      <c r="F17" s="278">
        <f>D17+E17</f>
        <v/>
      </c>
      <c r="G17" s="278" t="n">
        <v>30</v>
      </c>
      <c r="H17" s="292" t="n"/>
      <c r="I17" s="292" t="n"/>
      <c r="J17" s="278">
        <f>F17-H17</f>
        <v/>
      </c>
      <c r="K17" s="292" t="n"/>
      <c r="L17" s="278">
        <f>J17+K17</f>
        <v/>
      </c>
      <c r="M17" s="292" t="n"/>
      <c r="N17" s="278">
        <f>IF(M17=0,0,3)</f>
        <v/>
      </c>
      <c r="O17" s="293">
        <f>IF(M17=1,C17+N17+1,0)</f>
        <v/>
      </c>
      <c r="P17" s="503" t="n"/>
      <c r="Q17" s="504" t="n"/>
      <c r="R17" s="505" t="n"/>
      <c r="S17" s="277" t="n"/>
      <c r="T17" s="306" t="inlineStr">
        <is>
          <t xml:space="preserve">Min. Lead time </t>
        </is>
      </c>
      <c r="U17" s="307" t="n"/>
      <c r="V17" s="284" t="n">
        <v>1</v>
      </c>
      <c r="W17" s="281" t="n"/>
    </row>
    <row r="18" ht="16" customHeight="1" thickBot="1">
      <c r="B18" s="17" t="n"/>
      <c r="C18" s="291" t="n">
        <v>13</v>
      </c>
      <c r="D18" s="278">
        <f>J17</f>
        <v/>
      </c>
      <c r="E18" s="278">
        <f>COUNTIF($O$6:O17,C18)*$V$14</f>
        <v/>
      </c>
      <c r="F18" s="278">
        <f>D18+E18</f>
        <v/>
      </c>
      <c r="G18" s="278" t="n">
        <v>50</v>
      </c>
      <c r="H18" s="292" t="n"/>
      <c r="I18" s="292" t="n"/>
      <c r="J18" s="278">
        <f>F18-H18</f>
        <v/>
      </c>
      <c r="K18" s="292" t="n"/>
      <c r="L18" s="278">
        <f>J18+K18</f>
        <v/>
      </c>
      <c r="M18" s="292" t="n"/>
      <c r="N18" s="278">
        <f>IF(M18=0,0,3)</f>
        <v/>
      </c>
      <c r="O18" s="293">
        <f>IF(M18=1,C18+N18+1,0)</f>
        <v/>
      </c>
      <c r="P18" s="503" t="n"/>
      <c r="Q18" s="504" t="n"/>
      <c r="R18" s="505" t="n"/>
      <c r="S18" s="277" t="n"/>
      <c r="T18" s="308" t="inlineStr">
        <is>
          <t>Max. Lead time</t>
        </is>
      </c>
      <c r="U18" s="282" t="n"/>
      <c r="V18" s="305" t="n">
        <v>3</v>
      </c>
      <c r="W18" s="281" t="n"/>
    </row>
    <row r="19" ht="16" customHeight="1" thickBot="1">
      <c r="B19" s="17" t="n"/>
      <c r="C19" s="291" t="n">
        <v>14</v>
      </c>
      <c r="D19" s="278">
        <f>J18</f>
        <v/>
      </c>
      <c r="E19" s="278">
        <f>COUNTIF($O$6:O18,C19)*$V$14</f>
        <v/>
      </c>
      <c r="F19" s="278">
        <f>D19+E19</f>
        <v/>
      </c>
      <c r="G19" s="278" t="n">
        <v>10</v>
      </c>
      <c r="H19" s="292" t="n"/>
      <c r="I19" s="292" t="n"/>
      <c r="J19" s="278">
        <f>F19-H19</f>
        <v/>
      </c>
      <c r="K19" s="292" t="n"/>
      <c r="L19" s="278">
        <f>J19+K19</f>
        <v/>
      </c>
      <c r="M19" s="292" t="n"/>
      <c r="N19" s="278">
        <f>IF(M19=0,0,3)</f>
        <v/>
      </c>
      <c r="O19" s="293">
        <f>IF(M19=1,C19+N19+1,0)</f>
        <v/>
      </c>
      <c r="P19" s="503" t="n"/>
      <c r="Q19" s="504" t="n"/>
      <c r="R19" s="505" t="n"/>
      <c r="S19" s="277" t="n"/>
      <c r="T19" s="277" t="n"/>
      <c r="U19" s="277" t="n"/>
      <c r="V19" s="278" t="n"/>
      <c r="W19" s="506" t="n"/>
    </row>
    <row r="20">
      <c r="B20" s="17" t="n"/>
      <c r="C20" s="291" t="n">
        <v>15</v>
      </c>
      <c r="D20" s="278">
        <f>J19</f>
        <v/>
      </c>
      <c r="E20" s="278">
        <f>COUNTIF($O$6:O19,C20)*$V$14</f>
        <v/>
      </c>
      <c r="F20" s="278">
        <f>D20+E20</f>
        <v/>
      </c>
      <c r="G20" s="278" t="n">
        <v>10</v>
      </c>
      <c r="H20" s="292" t="n"/>
      <c r="I20" s="292" t="n"/>
      <c r="J20" s="278">
        <f>F20-H20</f>
        <v/>
      </c>
      <c r="K20" s="292" t="n"/>
      <c r="L20" s="278">
        <f>J20+K20</f>
        <v/>
      </c>
      <c r="M20" s="292" t="n"/>
      <c r="N20" s="278">
        <f>IF(M20=0,0,3)</f>
        <v/>
      </c>
      <c r="O20" s="293">
        <f>IF(M20=1,C20+N20+1,0)</f>
        <v/>
      </c>
      <c r="P20" s="503" t="n"/>
      <c r="Q20" s="504" t="n"/>
      <c r="R20" s="505" t="n"/>
      <c r="S20" s="277" t="n"/>
      <c r="T20" s="306" t="inlineStr">
        <is>
          <t>Inventory cost</t>
        </is>
      </c>
      <c r="U20" s="307" t="n"/>
      <c r="V20" s="507" t="n">
        <v>0.5</v>
      </c>
      <c r="W20" s="281" t="n"/>
    </row>
    <row r="21" ht="16" customHeight="1" thickBot="1">
      <c r="B21" s="17" t="n"/>
      <c r="C21" s="291" t="n">
        <v>16</v>
      </c>
      <c r="D21" s="278">
        <f>J20</f>
        <v/>
      </c>
      <c r="E21" s="278">
        <f>COUNTIF($O$6:O20,C21)*$V$14</f>
        <v/>
      </c>
      <c r="F21" s="278">
        <f>D21+E21</f>
        <v/>
      </c>
      <c r="G21" s="278" t="n">
        <v>40</v>
      </c>
      <c r="H21" s="292" t="n"/>
      <c r="I21" s="292" t="n"/>
      <c r="J21" s="278">
        <f>F21-H21</f>
        <v/>
      </c>
      <c r="K21" s="292" t="n"/>
      <c r="L21" s="278">
        <f>J21+K21</f>
        <v/>
      </c>
      <c r="M21" s="292" t="n"/>
      <c r="N21" s="278">
        <f>IF(M21=0,0,3)</f>
        <v/>
      </c>
      <c r="O21" s="293">
        <f>IF(M21=1,C21+N21+1,0)</f>
        <v/>
      </c>
      <c r="P21" s="503" t="n"/>
      <c r="Q21" s="504" t="n"/>
      <c r="R21" s="505" t="n"/>
      <c r="S21" s="277" t="n"/>
      <c r="T21" s="308" t="inlineStr">
        <is>
          <t>per unit and day</t>
        </is>
      </c>
      <c r="U21" s="282" t="n"/>
      <c r="V21" s="305" t="n"/>
      <c r="W21" s="281" t="n"/>
    </row>
    <row r="22" ht="16" customHeight="1" thickBot="1">
      <c r="B22" s="17" t="n"/>
      <c r="C22" s="291" t="n">
        <v>17</v>
      </c>
      <c r="D22" s="278">
        <f>J21</f>
        <v/>
      </c>
      <c r="E22" s="278">
        <f>COUNTIF($O$6:O21,C22)*$V$14</f>
        <v/>
      </c>
      <c r="F22" s="278">
        <f>D22+E22</f>
        <v/>
      </c>
      <c r="G22" s="278" t="n">
        <v>10</v>
      </c>
      <c r="H22" s="292" t="n"/>
      <c r="I22" s="292" t="n"/>
      <c r="J22" s="278">
        <f>F22-H22</f>
        <v/>
      </c>
      <c r="K22" s="292" t="n"/>
      <c r="L22" s="278">
        <f>J22+K22</f>
        <v/>
      </c>
      <c r="M22" s="292" t="n"/>
      <c r="N22" s="278">
        <f>IF(M22=0,0,3)</f>
        <v/>
      </c>
      <c r="O22" s="293">
        <f>IF(M22=1,C22+N22+1,0)</f>
        <v/>
      </c>
      <c r="P22" s="503" t="n"/>
      <c r="Q22" s="504" t="n"/>
      <c r="R22" s="505" t="n"/>
      <c r="S22" s="277" t="n"/>
      <c r="T22" s="277" t="n"/>
      <c r="U22" s="277" t="n"/>
      <c r="V22" s="278" t="n"/>
      <c r="W22" s="508" t="n"/>
    </row>
    <row r="23">
      <c r="B23" s="17" t="n"/>
      <c r="C23" s="291" t="n">
        <v>18</v>
      </c>
      <c r="D23" s="278">
        <f>J22</f>
        <v/>
      </c>
      <c r="E23" s="278">
        <f>COUNTIF($O$6:O22,C23)*$V$14</f>
        <v/>
      </c>
      <c r="F23" s="278">
        <f>D23+E23</f>
        <v/>
      </c>
      <c r="G23" s="278" t="n">
        <v>0</v>
      </c>
      <c r="H23" s="292" t="n"/>
      <c r="I23" s="292" t="n"/>
      <c r="J23" s="278">
        <f>F23-H23</f>
        <v/>
      </c>
      <c r="K23" s="292" t="n"/>
      <c r="L23" s="278">
        <f>J23+K23</f>
        <v/>
      </c>
      <c r="M23" s="292" t="n"/>
      <c r="N23" s="278">
        <f>IF(M23=0,0,2)</f>
        <v/>
      </c>
      <c r="O23" s="293">
        <f>IF(M23=1,C23+N23+1,0)</f>
        <v/>
      </c>
      <c r="P23" s="503" t="n"/>
      <c r="Q23" s="504" t="n"/>
      <c r="R23" s="505" t="n"/>
      <c r="S23" s="277" t="n"/>
      <c r="T23" s="306" t="inlineStr">
        <is>
          <t>Stockout cost</t>
        </is>
      </c>
      <c r="U23" s="307" t="n"/>
      <c r="V23" s="509" t="n">
        <v>10</v>
      </c>
      <c r="W23" s="281" t="n"/>
    </row>
    <row r="24" ht="16" customHeight="1" thickBot="1">
      <c r="B24" s="17" t="n"/>
      <c r="C24" s="291" t="n">
        <v>19</v>
      </c>
      <c r="D24" s="278">
        <f>J23</f>
        <v/>
      </c>
      <c r="E24" s="278">
        <f>COUNTIF($O$6:O23,C24)*$V$14</f>
        <v/>
      </c>
      <c r="F24" s="278">
        <f>D24+E24</f>
        <v/>
      </c>
      <c r="G24" s="278" t="n">
        <v>50</v>
      </c>
      <c r="H24" s="292" t="n"/>
      <c r="I24" s="292" t="n"/>
      <c r="J24" s="278">
        <f>F24-H24</f>
        <v/>
      </c>
      <c r="K24" s="292" t="n"/>
      <c r="L24" s="278">
        <f>J24+K24</f>
        <v/>
      </c>
      <c r="M24" s="292" t="n"/>
      <c r="N24" s="278">
        <f>IF(M24=0,0,2)</f>
        <v/>
      </c>
      <c r="O24" s="293">
        <f>IF(M24=1,C24+N24+1,0)</f>
        <v/>
      </c>
      <c r="P24" s="503" t="n"/>
      <c r="Q24" s="504" t="n"/>
      <c r="R24" s="505" t="n"/>
      <c r="S24" s="277" t="n"/>
      <c r="T24" s="308" t="inlineStr">
        <is>
          <t>per unit</t>
        </is>
      </c>
      <c r="U24" s="282" t="n"/>
      <c r="V24" s="305" t="n"/>
      <c r="W24" s="281" t="n"/>
    </row>
    <row r="25" ht="16" customHeight="1" thickBot="1">
      <c r="B25" s="17" t="n"/>
      <c r="C25" s="291" t="n">
        <v>20</v>
      </c>
      <c r="D25" s="278">
        <f>J24</f>
        <v/>
      </c>
      <c r="E25" s="278">
        <f>COUNTIF($O$6:O24,C25)*$V$14</f>
        <v/>
      </c>
      <c r="F25" s="278">
        <f>D25+E25</f>
        <v/>
      </c>
      <c r="G25" s="278" t="n">
        <v>20</v>
      </c>
      <c r="H25" s="292" t="n"/>
      <c r="I25" s="292" t="n"/>
      <c r="J25" s="278">
        <f>F25-H25</f>
        <v/>
      </c>
      <c r="K25" s="292" t="n"/>
      <c r="L25" s="278">
        <f>J25+K25</f>
        <v/>
      </c>
      <c r="M25" s="292" t="n"/>
      <c r="N25" s="278">
        <f>IF(M25=0,0,2)</f>
        <v/>
      </c>
      <c r="O25" s="293">
        <f>IF(M25=1,C25+N25+1,0)</f>
        <v/>
      </c>
      <c r="P25" s="503" t="n"/>
      <c r="Q25" s="504" t="n"/>
      <c r="R25" s="505" t="n"/>
      <c r="S25" s="277" t="n"/>
      <c r="T25" s="277" t="n"/>
      <c r="U25" s="277" t="n"/>
      <c r="V25" s="278" t="n"/>
      <c r="W25" s="508" t="n"/>
    </row>
    <row r="26">
      <c r="B26" s="17" t="n"/>
      <c r="C26" s="291" t="n">
        <v>21</v>
      </c>
      <c r="D26" s="278">
        <f>J25</f>
        <v/>
      </c>
      <c r="E26" s="278">
        <f>COUNTIF($O$6:O25,C26)*$V$14</f>
        <v/>
      </c>
      <c r="F26" s="278">
        <f>D26+E26</f>
        <v/>
      </c>
      <c r="G26" s="278" t="n">
        <v>20</v>
      </c>
      <c r="H26" s="292" t="n"/>
      <c r="I26" s="292" t="n"/>
      <c r="J26" s="278">
        <f>F26-H26</f>
        <v/>
      </c>
      <c r="K26" s="292" t="n"/>
      <c r="L26" s="278">
        <f>J26+K26</f>
        <v/>
      </c>
      <c r="M26" s="292" t="n"/>
      <c r="N26" s="278">
        <f>IF(M26=0,0,2)</f>
        <v/>
      </c>
      <c r="O26" s="293">
        <f>IF(M26=1,C26+N26+1,0)</f>
        <v/>
      </c>
      <c r="P26" s="503" t="n"/>
      <c r="Q26" s="504" t="n"/>
      <c r="R26" s="505" t="n"/>
      <c r="S26" s="277" t="n"/>
      <c r="T26" s="306" t="inlineStr">
        <is>
          <t>Order cost</t>
        </is>
      </c>
      <c r="U26" s="307" t="n"/>
      <c r="V26" s="509" t="n">
        <v>20</v>
      </c>
      <c r="W26" s="281" t="n"/>
    </row>
    <row r="27" ht="16" customHeight="1" thickBot="1">
      <c r="B27" s="17" t="n"/>
      <c r="C27" s="291" t="n">
        <v>22</v>
      </c>
      <c r="D27" s="278">
        <f>J26</f>
        <v/>
      </c>
      <c r="E27" s="278">
        <f>COUNTIF($O$6:O26,C27)*$V$14</f>
        <v/>
      </c>
      <c r="F27" s="278">
        <f>D27+E27</f>
        <v/>
      </c>
      <c r="G27" s="278" t="n">
        <v>30</v>
      </c>
      <c r="H27" s="292" t="n"/>
      <c r="I27" s="292" t="n"/>
      <c r="J27" s="278">
        <f>F27-H27</f>
        <v/>
      </c>
      <c r="K27" s="292" t="n"/>
      <c r="L27" s="278">
        <f>J27+K27</f>
        <v/>
      </c>
      <c r="M27" s="292" t="n"/>
      <c r="N27" s="278">
        <f>IF(M27=0,0,1)</f>
        <v/>
      </c>
      <c r="O27" s="293">
        <f>IF(M27=1,C27+N27+1,0)</f>
        <v/>
      </c>
      <c r="P27" s="503" t="n"/>
      <c r="Q27" s="504" t="n"/>
      <c r="R27" s="505" t="n"/>
      <c r="S27" s="277" t="n"/>
      <c r="T27" s="308" t="inlineStr">
        <is>
          <t>per order</t>
        </is>
      </c>
      <c r="U27" s="282" t="n"/>
      <c r="V27" s="305" t="n"/>
      <c r="W27" s="279" t="n"/>
    </row>
    <row r="28">
      <c r="B28" s="17" t="n"/>
      <c r="C28" s="291" t="n">
        <v>23</v>
      </c>
      <c r="D28" s="278">
        <f>J27</f>
        <v/>
      </c>
      <c r="E28" s="278">
        <f>COUNTIF($O$6:O27,C28)*$V$14</f>
        <v/>
      </c>
      <c r="F28" s="278">
        <f>D28+E28</f>
        <v/>
      </c>
      <c r="G28" s="278" t="n">
        <v>10</v>
      </c>
      <c r="H28" s="292" t="n"/>
      <c r="I28" s="292" t="n"/>
      <c r="J28" s="278">
        <f>F28-H28</f>
        <v/>
      </c>
      <c r="K28" s="292" t="n"/>
      <c r="L28" s="278">
        <f>J28+K28</f>
        <v/>
      </c>
      <c r="M28" s="292" t="n"/>
      <c r="N28" s="278">
        <f>IF(M28=0,0,1)</f>
        <v/>
      </c>
      <c r="O28" s="293">
        <f>IF(M28=1,C28+N28+1,0)</f>
        <v/>
      </c>
      <c r="P28" s="503" t="n"/>
      <c r="Q28" s="504" t="n"/>
      <c r="R28" s="505" t="n"/>
      <c r="S28" s="277" t="n"/>
      <c r="T28" s="277" t="n"/>
      <c r="U28" s="277" t="n"/>
      <c r="V28" s="277" t="n"/>
      <c r="W28" s="279" t="n"/>
    </row>
    <row r="29">
      <c r="B29" s="17" t="n"/>
      <c r="C29" s="291" t="n">
        <v>24</v>
      </c>
      <c r="D29" s="278">
        <f>J28</f>
        <v/>
      </c>
      <c r="E29" s="278">
        <f>COUNTIF($O$6:O28,C29)*$V$14</f>
        <v/>
      </c>
      <c r="F29" s="278">
        <f>D29+E29</f>
        <v/>
      </c>
      <c r="G29" s="278" t="n">
        <v>30</v>
      </c>
      <c r="H29" s="292" t="n"/>
      <c r="I29" s="292" t="n"/>
      <c r="J29" s="278">
        <f>F29-H29</f>
        <v/>
      </c>
      <c r="K29" s="292" t="n"/>
      <c r="L29" s="278">
        <f>J29+K29</f>
        <v/>
      </c>
      <c r="M29" s="292" t="n"/>
      <c r="N29" s="278">
        <f>IF(M29=0,0,1)</f>
        <v/>
      </c>
      <c r="O29" s="293">
        <f>IF(M29=1,C29+N29+1,0)</f>
        <v/>
      </c>
      <c r="P29" s="503" t="n"/>
      <c r="Q29" s="504" t="n"/>
      <c r="R29" s="505" t="n"/>
      <c r="S29" s="277" t="n"/>
      <c r="T29" s="277" t="n"/>
      <c r="U29" s="277" t="n"/>
      <c r="V29" s="277" t="n"/>
      <c r="W29" s="279" t="n"/>
    </row>
    <row r="30">
      <c r="B30" s="17" t="n"/>
      <c r="C30" s="291" t="n">
        <v>25</v>
      </c>
      <c r="D30" s="278">
        <f>J29</f>
        <v/>
      </c>
      <c r="E30" s="278">
        <f>COUNTIF($O$6:O29,C30)*$V$14</f>
        <v/>
      </c>
      <c r="F30" s="278">
        <f>D30+E30</f>
        <v/>
      </c>
      <c r="G30" s="278" t="n">
        <v>20</v>
      </c>
      <c r="H30" s="292" t="n"/>
      <c r="I30" s="292" t="n"/>
      <c r="J30" s="278">
        <f>F30-H30</f>
        <v/>
      </c>
      <c r="K30" s="292" t="n"/>
      <c r="L30" s="278">
        <f>J30+K30</f>
        <v/>
      </c>
      <c r="M30" s="292" t="n"/>
      <c r="N30" s="278">
        <f>IF(M30=0,0,1)</f>
        <v/>
      </c>
      <c r="O30" s="293">
        <f>IF(M30=1,C30+N30+1,0)</f>
        <v/>
      </c>
      <c r="P30" s="503" t="n"/>
      <c r="Q30" s="504" t="n"/>
      <c r="R30" s="505" t="n"/>
      <c r="S30" s="277" t="n"/>
      <c r="T30" s="277" t="n"/>
      <c r="U30" s="277" t="n"/>
      <c r="V30" s="277" t="n"/>
      <c r="W30" s="279" t="n"/>
    </row>
    <row r="31">
      <c r="B31" s="17" t="n"/>
      <c r="C31" s="291" t="n">
        <v>26</v>
      </c>
      <c r="D31" s="278">
        <f>J30</f>
        <v/>
      </c>
      <c r="E31" s="278">
        <f>COUNTIF($O$6:O30,C31)*$V$14</f>
        <v/>
      </c>
      <c r="F31" s="278">
        <f>D31+E31</f>
        <v/>
      </c>
      <c r="G31" s="278" t="n">
        <v>50</v>
      </c>
      <c r="H31" s="292" t="n"/>
      <c r="I31" s="292" t="n"/>
      <c r="J31" s="278">
        <f>F31-H31</f>
        <v/>
      </c>
      <c r="K31" s="292" t="n"/>
      <c r="L31" s="278">
        <f>J31+K31</f>
        <v/>
      </c>
      <c r="M31" s="292" t="n"/>
      <c r="N31" s="278">
        <f>IF(M31=0,0,1)</f>
        <v/>
      </c>
      <c r="O31" s="293">
        <f>IF(M31=1,C31+N31+1,0)</f>
        <v/>
      </c>
      <c r="P31" s="503" t="n"/>
      <c r="Q31" s="504" t="n"/>
      <c r="R31" s="505" t="n"/>
      <c r="S31" s="277" t="n"/>
      <c r="T31" s="277" t="n"/>
      <c r="U31" s="277" t="n"/>
      <c r="V31" s="277" t="n"/>
      <c r="W31" s="279" t="n"/>
    </row>
    <row r="32">
      <c r="B32" s="17" t="n"/>
      <c r="C32" s="291" t="n">
        <v>27</v>
      </c>
      <c r="D32" s="278">
        <f>J31</f>
        <v/>
      </c>
      <c r="E32" s="278">
        <f>COUNTIF($O$6:O31,C32)*$V$14</f>
        <v/>
      </c>
      <c r="F32" s="278">
        <f>D32+E32</f>
        <v/>
      </c>
      <c r="G32" s="278" t="n">
        <v>0</v>
      </c>
      <c r="H32" s="292" t="n"/>
      <c r="I32" s="292" t="n"/>
      <c r="J32" s="278">
        <f>F32-H32</f>
        <v/>
      </c>
      <c r="K32" s="292" t="n"/>
      <c r="L32" s="278">
        <f>J32+K32</f>
        <v/>
      </c>
      <c r="M32" s="292" t="n"/>
      <c r="N32" s="278">
        <f>IF(M32=0,0,3)</f>
        <v/>
      </c>
      <c r="O32" s="293">
        <f>IF(M32=1,C32+N32+1,0)</f>
        <v/>
      </c>
      <c r="P32" s="503" t="n"/>
      <c r="Q32" s="504" t="n"/>
      <c r="R32" s="505" t="n"/>
      <c r="S32" s="277" t="n"/>
      <c r="T32" s="277" t="n"/>
      <c r="U32" s="277" t="n"/>
      <c r="V32" s="277" t="n"/>
      <c r="W32" s="279" t="n"/>
    </row>
    <row r="33">
      <c r="B33" s="17" t="n"/>
      <c r="C33" s="291" t="n">
        <v>28</v>
      </c>
      <c r="D33" s="278">
        <f>J32</f>
        <v/>
      </c>
      <c r="E33" s="278">
        <f>COUNTIF($O$6:O32,C33)*$V$14</f>
        <v/>
      </c>
      <c r="F33" s="278">
        <f>D33+E33</f>
        <v/>
      </c>
      <c r="G33" s="278" t="n">
        <v>20</v>
      </c>
      <c r="H33" s="292" t="n"/>
      <c r="I33" s="292" t="n"/>
      <c r="J33" s="278">
        <f>F33-H33</f>
        <v/>
      </c>
      <c r="K33" s="292" t="n"/>
      <c r="L33" s="278">
        <f>J33+K33</f>
        <v/>
      </c>
      <c r="M33" s="292" t="n"/>
      <c r="N33" s="278">
        <f>IF(M33=0,0,3)</f>
        <v/>
      </c>
      <c r="O33" s="293">
        <f>IF(M33=1,C33+N33+1,0)</f>
        <v/>
      </c>
      <c r="P33" s="503" t="n"/>
      <c r="Q33" s="504" t="n"/>
      <c r="R33" s="505" t="n"/>
      <c r="S33" s="277" t="n"/>
      <c r="T33" s="277" t="n"/>
      <c r="U33" s="277" t="n"/>
      <c r="V33" s="277" t="n"/>
      <c r="W33" s="279" t="n"/>
    </row>
    <row r="34">
      <c r="B34" s="17" t="n"/>
      <c r="C34" s="291" t="n">
        <v>29</v>
      </c>
      <c r="D34" s="278">
        <f>J33</f>
        <v/>
      </c>
      <c r="E34" s="278">
        <f>COUNTIF($O$6:O33,C34)*$V$14</f>
        <v/>
      </c>
      <c r="F34" s="278">
        <f>D34+E34</f>
        <v/>
      </c>
      <c r="G34" s="278" t="n">
        <v>10</v>
      </c>
      <c r="H34" s="292" t="n"/>
      <c r="I34" s="292" t="n"/>
      <c r="J34" s="278">
        <f>F34-H34</f>
        <v/>
      </c>
      <c r="K34" s="292" t="n"/>
      <c r="L34" s="278">
        <f>J34+K34</f>
        <v/>
      </c>
      <c r="M34" s="292" t="n"/>
      <c r="N34" s="278">
        <f>IF(M34=0,0,3)</f>
        <v/>
      </c>
      <c r="O34" s="293">
        <f>IF(M34=1,C34+N34+1,0)</f>
        <v/>
      </c>
      <c r="P34" s="503" t="n"/>
      <c r="Q34" s="504" t="n"/>
      <c r="R34" s="505" t="n"/>
      <c r="S34" s="277" t="n"/>
      <c r="T34" s="277" t="n"/>
      <c r="U34" s="277" t="n"/>
      <c r="V34" s="277" t="n"/>
      <c r="W34" s="279" t="n"/>
    </row>
    <row r="35" ht="16" customHeight="1" thickBot="1">
      <c r="B35" s="17" t="n"/>
      <c r="C35" s="298" t="n">
        <v>30</v>
      </c>
      <c r="D35" s="313">
        <f>J34</f>
        <v/>
      </c>
      <c r="E35" s="313">
        <f>COUNTIF($O$6:O34,C35)*$V$14</f>
        <v/>
      </c>
      <c r="F35" s="313">
        <f>D35+E35</f>
        <v/>
      </c>
      <c r="G35" s="313" t="n">
        <v>30</v>
      </c>
      <c r="H35" s="292" t="n"/>
      <c r="I35" s="292" t="n"/>
      <c r="J35" s="313">
        <f>F35-H35</f>
        <v/>
      </c>
      <c r="K35" s="292" t="n"/>
      <c r="L35" s="313">
        <f>J35+K35</f>
        <v/>
      </c>
      <c r="M35" s="292" t="n"/>
      <c r="N35" s="313">
        <f>IF(M35=0,0,3)</f>
        <v/>
      </c>
      <c r="O35" s="305">
        <f>IF(M35=1,C35+N35+1,0)</f>
        <v/>
      </c>
      <c r="P35" s="503" t="n"/>
      <c r="Q35" s="504" t="n"/>
      <c r="R35" s="505" t="n"/>
      <c r="S35" s="277" t="n"/>
      <c r="T35" s="277" t="n"/>
      <c r="U35" s="277" t="n"/>
      <c r="V35" s="277" t="n"/>
      <c r="W35" s="279" t="n"/>
    </row>
    <row r="36" ht="16" customHeight="1" thickBot="1">
      <c r="B36" s="17" t="n"/>
      <c r="C36" s="277" t="n"/>
      <c r="D36" s="277" t="n"/>
      <c r="E36" s="277" t="n"/>
      <c r="F36" s="277" t="n"/>
      <c r="G36" s="278" t="n"/>
      <c r="H36" s="277" t="n"/>
      <c r="I36" s="277" t="n"/>
      <c r="J36" s="277" t="n"/>
      <c r="K36" s="277" t="n"/>
      <c r="L36" s="277" t="n"/>
      <c r="M36" s="277" t="n"/>
      <c r="N36" s="314" t="n"/>
      <c r="O36" s="303" t="inlineStr">
        <is>
          <t>Total =</t>
        </is>
      </c>
      <c r="P36" s="510">
        <f>SUM(P6:P35)</f>
        <v/>
      </c>
      <c r="Q36" s="511">
        <f>SUM(Q6:Q35)</f>
        <v/>
      </c>
      <c r="R36" s="512">
        <f>SUM(R6:R35)</f>
        <v/>
      </c>
      <c r="S36" s="277" t="n"/>
      <c r="T36" s="277" t="n"/>
      <c r="U36" s="277" t="n"/>
      <c r="V36" s="277" t="n"/>
      <c r="W36" s="506" t="n"/>
    </row>
    <row r="37" ht="16" customHeight="1" thickBot="1">
      <c r="B37" s="17" t="n"/>
      <c r="C37" s="277" t="n"/>
      <c r="D37" s="277" t="n"/>
      <c r="E37" s="277" t="n"/>
      <c r="F37" s="277" t="n"/>
      <c r="G37" s="278" t="n"/>
      <c r="H37" s="277" t="n"/>
      <c r="I37" s="277" t="n"/>
      <c r="J37" s="277" t="n"/>
      <c r="K37" s="277" t="n"/>
      <c r="L37" s="277" t="n"/>
      <c r="M37" s="277" t="n"/>
      <c r="N37" s="277" t="n"/>
      <c r="O37" s="390" t="inlineStr">
        <is>
          <t>Total monthly costs =</t>
        </is>
      </c>
      <c r="P37" s="391" t="n"/>
      <c r="Q37" s="391" t="n"/>
      <c r="R37" s="513" t="n"/>
      <c r="S37" s="277" t="n"/>
      <c r="T37" s="277" t="n"/>
      <c r="U37" s="277" t="n"/>
      <c r="V37" s="277" t="n"/>
      <c r="W37" s="279" t="n"/>
    </row>
    <row r="38">
      <c r="B38" s="17" t="n"/>
      <c r="C38" s="277" t="n"/>
      <c r="D38" s="277" t="n"/>
      <c r="E38" s="277" t="n"/>
      <c r="F38" s="277" t="n"/>
      <c r="G38" s="278" t="n"/>
      <c r="H38" s="277" t="n"/>
      <c r="I38" s="277" t="n"/>
      <c r="J38" s="277" t="n"/>
      <c r="K38" s="277" t="n"/>
      <c r="L38" s="277" t="n"/>
      <c r="M38" s="277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9" t="n"/>
    </row>
    <row r="39">
      <c r="B39" s="17" t="n"/>
      <c r="C39" s="277" t="n"/>
      <c r="D39" s="277" t="n"/>
      <c r="E39" s="277" t="n"/>
      <c r="F39" s="277" t="n"/>
      <c r="G39" s="278" t="n"/>
      <c r="H39" s="277" t="n"/>
      <c r="I39" s="277" t="n"/>
      <c r="J39" s="277" t="n"/>
      <c r="K39" s="277" t="n"/>
      <c r="L39" s="277" t="n"/>
      <c r="M39" s="277" t="n"/>
      <c r="N39" s="277" t="n"/>
      <c r="O39" s="277" t="n"/>
      <c r="P39" s="277" t="n"/>
      <c r="Q39" s="277" t="n"/>
      <c r="R39" s="277" t="n"/>
      <c r="S39" s="277" t="n"/>
      <c r="T39" s="277" t="n"/>
      <c r="U39" s="277" t="n"/>
      <c r="V39" s="277" t="n"/>
      <c r="W39" s="279" t="n"/>
    </row>
    <row r="40">
      <c r="C40" s="378" t="n"/>
      <c r="D40" s="378" t="n"/>
      <c r="E40" s="378" t="n"/>
      <c r="F40" s="378" t="n"/>
      <c r="G40" s="379" t="n"/>
      <c r="H40" s="378" t="n"/>
      <c r="I40" s="378" t="n"/>
      <c r="J40" s="378" t="n"/>
      <c r="K40" s="378" t="n"/>
      <c r="L40" s="378" t="n"/>
      <c r="M40" s="378" t="n"/>
      <c r="N40" s="378" t="n"/>
      <c r="O40" s="378" t="n"/>
      <c r="P40" s="378" t="n"/>
      <c r="Q40" s="378" t="n"/>
      <c r="R40" s="378" t="n"/>
      <c r="S40" s="378" t="n"/>
      <c r="T40" s="378" t="n"/>
      <c r="U40" s="378" t="n"/>
      <c r="V40" s="378" t="n"/>
      <c r="W40" s="380" t="n"/>
    </row>
    <row r="41">
      <c r="C41" s="378" t="n"/>
      <c r="D41" s="378" t="n"/>
      <c r="E41" s="378" t="n"/>
      <c r="F41" s="378" t="n"/>
      <c r="G41" s="379" t="n"/>
      <c r="H41" s="378" t="n"/>
      <c r="I41" s="378" t="n"/>
      <c r="J41" s="378" t="n"/>
      <c r="K41" s="378" t="n"/>
      <c r="L41" s="378" t="n"/>
      <c r="M41" s="378" t="n"/>
      <c r="N41" s="378" t="n"/>
      <c r="O41" s="378" t="n"/>
      <c r="P41" s="378" t="n"/>
      <c r="Q41" s="378" t="n"/>
      <c r="R41" s="378" t="n"/>
      <c r="S41" s="378" t="n"/>
      <c r="T41" s="378" t="n"/>
      <c r="U41" s="378" t="n"/>
      <c r="V41" s="378" t="n"/>
      <c r="W41" s="380" t="n"/>
    </row>
    <row r="42">
      <c r="C42" s="381" t="n"/>
      <c r="D42" s="381" t="n"/>
      <c r="E42" s="381" t="n"/>
      <c r="F42" s="381" t="n"/>
      <c r="G42" s="381" t="n"/>
      <c r="H42" s="378" t="n"/>
      <c r="I42" s="378" t="n"/>
      <c r="J42" s="381" t="n"/>
      <c r="K42" s="381" t="n"/>
      <c r="L42" s="381" t="n"/>
      <c r="M42" s="381" t="n"/>
      <c r="N42" s="382" t="n"/>
      <c r="O42" s="382" t="n"/>
      <c r="P42" s="378" t="n"/>
      <c r="Q42" s="378" t="n"/>
      <c r="R42" s="378" t="n"/>
      <c r="S42" s="378" t="n"/>
      <c r="T42" s="378" t="n"/>
      <c r="U42" s="378" t="n"/>
      <c r="V42" s="378" t="n"/>
      <c r="W42" s="380" t="n"/>
    </row>
    <row r="43">
      <c r="C43" s="378" t="n"/>
      <c r="D43" s="514" t="n"/>
      <c r="E43" s="515" t="n"/>
      <c r="F43" s="515" t="n"/>
      <c r="G43" s="516" t="n"/>
      <c r="H43" s="378" t="n"/>
      <c r="I43" s="378" t="n"/>
      <c r="J43" s="514" t="n"/>
      <c r="K43" s="515" t="n"/>
      <c r="L43" s="515" t="n"/>
      <c r="M43" s="515" t="n"/>
      <c r="N43" s="382" t="n"/>
      <c r="O43" s="382" t="n"/>
      <c r="P43" s="378" t="n"/>
      <c r="Q43" s="378" t="n"/>
      <c r="R43" s="378" t="n"/>
      <c r="S43" s="378" t="n"/>
      <c r="T43" s="378" t="n"/>
      <c r="U43" s="378" t="n"/>
      <c r="V43" s="378" t="n"/>
      <c r="W43" s="380" t="n"/>
    </row>
    <row r="44">
      <c r="C44" s="378" t="n"/>
      <c r="D44" s="514" t="n"/>
      <c r="E44" s="515" t="n"/>
      <c r="F44" s="515" t="n"/>
      <c r="G44" s="516" t="n"/>
      <c r="H44" s="378" t="n"/>
      <c r="I44" s="378" t="n"/>
      <c r="J44" s="517" t="n"/>
      <c r="K44" s="517" t="n"/>
      <c r="L44" s="517" t="n"/>
      <c r="M44" s="517" t="n"/>
      <c r="N44" s="382" t="n"/>
      <c r="O44" s="382" t="n"/>
      <c r="P44" s="378" t="n"/>
      <c r="Q44" s="378" t="n"/>
      <c r="R44" s="378" t="n"/>
      <c r="S44" s="378" t="n"/>
      <c r="T44" s="378" t="n"/>
      <c r="U44" s="378" t="n"/>
      <c r="V44" s="378" t="n"/>
      <c r="W44" s="380" t="n"/>
    </row>
    <row r="45">
      <c r="C45" s="378" t="n"/>
      <c r="D45" s="514" t="n"/>
      <c r="E45" s="515" t="n"/>
      <c r="F45" s="515" t="n"/>
      <c r="G45" s="516" t="n"/>
      <c r="H45" s="378" t="n"/>
      <c r="I45" s="378" t="n"/>
      <c r="J45" s="378" t="n"/>
      <c r="K45" s="378" t="n"/>
      <c r="L45" s="378" t="n"/>
      <c r="M45" s="378" t="n"/>
      <c r="N45" s="378" t="n"/>
      <c r="O45" s="378" t="n"/>
      <c r="P45" s="378" t="n"/>
      <c r="Q45" s="378" t="n"/>
      <c r="R45" s="378" t="n"/>
      <c r="S45" s="378" t="n"/>
      <c r="T45" s="378" t="n"/>
      <c r="U45" s="378" t="n"/>
      <c r="V45" s="378" t="n"/>
      <c r="W45" s="380" t="n"/>
    </row>
    <row r="46">
      <c r="C46" s="378" t="n"/>
      <c r="D46" s="514" t="n"/>
      <c r="E46" s="515" t="n"/>
      <c r="F46" s="515" t="n"/>
      <c r="G46" s="516" t="n"/>
      <c r="H46" s="378" t="n"/>
      <c r="I46" s="380" t="n"/>
      <c r="J46" s="380" t="n"/>
      <c r="K46" s="380" t="n"/>
      <c r="L46" s="380" t="n"/>
      <c r="M46" s="380" t="n"/>
      <c r="N46" s="380" t="n"/>
      <c r="O46" s="378" t="n"/>
      <c r="P46" s="378" t="n"/>
      <c r="Q46" s="378" t="n"/>
      <c r="R46" s="378" t="n"/>
      <c r="S46" s="378" t="n"/>
      <c r="T46" s="378" t="n"/>
      <c r="U46" s="378" t="n"/>
      <c r="V46" s="378" t="n"/>
      <c r="W46" s="380" t="n"/>
    </row>
  </sheetData>
  <mergeCells count="1">
    <mergeCell ref="T5:U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29">
    <outlinePr summaryBelow="1" summaryRight="1"/>
    <pageSetUpPr/>
  </sheetPr>
  <dimension ref="A1:BU17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18" sqref="Z18"/>
    </sheetView>
  </sheetViews>
  <sheetFormatPr baseColWidth="10" defaultColWidth="9.1640625" defaultRowHeight="15"/>
  <cols>
    <col width="2.83203125" customWidth="1" style="348" min="1" max="1"/>
    <col width="5.6640625" customWidth="1" style="17" min="2" max="2"/>
    <col width="10.33203125" customWidth="1" style="17" min="3" max="3"/>
    <col width="8.6640625" customWidth="1" style="17" min="4" max="5"/>
    <col width="8.83203125" customWidth="1" style="17" min="6" max="6"/>
    <col width="9.83203125" customWidth="1" style="17" min="7" max="7"/>
    <col width="6.6640625" customWidth="1" style="17" min="8" max="27"/>
    <col width="9.1640625" customWidth="1" style="17" min="28" max="16384"/>
  </cols>
  <sheetData>
    <row r="1" ht="18.5" customFormat="1" customHeight="1" s="348">
      <c r="AC1" s="350" t="n"/>
      <c r="AD1" s="350" t="n"/>
    </row>
    <row r="2" ht="27.5" customHeight="1">
      <c r="AC2" s="1" t="n"/>
      <c r="AD2" s="5" t="n"/>
    </row>
    <row r="3">
      <c r="D3" s="316" t="inlineStr">
        <is>
          <t>Demand</t>
        </is>
      </c>
      <c r="E3" s="317" t="n"/>
      <c r="F3" s="317" t="n"/>
      <c r="G3" s="318" t="n"/>
      <c r="H3" s="319" t="inlineStr">
        <is>
          <t>B1</t>
        </is>
      </c>
      <c r="I3" s="319" t="inlineStr">
        <is>
          <t>B2</t>
        </is>
      </c>
      <c r="J3" s="319" t="inlineStr">
        <is>
          <t>B3</t>
        </is>
      </c>
      <c r="K3" s="319" t="inlineStr">
        <is>
          <t>B4</t>
        </is>
      </c>
      <c r="L3" s="319" t="inlineStr">
        <is>
          <t>B5</t>
        </is>
      </c>
      <c r="M3" s="319" t="inlineStr">
        <is>
          <t>B6</t>
        </is>
      </c>
      <c r="N3" s="319" t="inlineStr">
        <is>
          <t>B7</t>
        </is>
      </c>
      <c r="O3" s="319" t="inlineStr">
        <is>
          <t>B8</t>
        </is>
      </c>
      <c r="P3" s="319" t="inlineStr">
        <is>
          <t>B9</t>
        </is>
      </c>
      <c r="Q3" s="319" t="inlineStr">
        <is>
          <t>B10</t>
        </is>
      </c>
      <c r="R3" s="319" t="inlineStr">
        <is>
          <t>B11</t>
        </is>
      </c>
      <c r="S3" s="319" t="inlineStr">
        <is>
          <t>B12</t>
        </is>
      </c>
      <c r="T3" s="319" t="inlineStr">
        <is>
          <t>B13</t>
        </is>
      </c>
      <c r="U3" s="319" t="inlineStr">
        <is>
          <t>B14</t>
        </is>
      </c>
      <c r="V3" s="319" t="inlineStr">
        <is>
          <t>B15</t>
        </is>
      </c>
      <c r="W3" s="319" t="inlineStr">
        <is>
          <t>B16</t>
        </is>
      </c>
      <c r="X3" s="319" t="inlineStr">
        <is>
          <t>B17</t>
        </is>
      </c>
      <c r="Y3" s="319" t="inlineStr">
        <is>
          <t>B18</t>
        </is>
      </c>
      <c r="Z3" s="319" t="inlineStr">
        <is>
          <t>B19</t>
        </is>
      </c>
      <c r="AA3" s="319" t="inlineStr">
        <is>
          <t>B20</t>
        </is>
      </c>
      <c r="AB3" s="315" t="n"/>
      <c r="AC3" s="1" t="n"/>
      <c r="AD3" s="5" t="n"/>
    </row>
    <row r="4">
      <c r="D4" s="17" t="n">
        <v>200</v>
      </c>
      <c r="G4" s="315" t="n"/>
      <c r="H4" s="292" t="n"/>
      <c r="I4" s="292" t="n"/>
      <c r="J4" s="292" t="n"/>
      <c r="K4" s="292" t="n"/>
      <c r="L4" s="292" t="n"/>
      <c r="M4" s="292" t="n"/>
      <c r="N4" s="292" t="n"/>
      <c r="O4" s="292" t="n"/>
      <c r="P4" s="292" t="n"/>
      <c r="Q4" s="292" t="n"/>
      <c r="R4" s="292" t="n"/>
      <c r="S4" s="292" t="n"/>
      <c r="T4" s="292" t="n"/>
      <c r="U4" s="292" t="n"/>
      <c r="V4" s="292" t="n"/>
      <c r="W4" s="292" t="n"/>
      <c r="X4" s="292" t="n"/>
      <c r="Y4" s="292" t="n"/>
      <c r="Z4" s="292" t="n"/>
      <c r="AA4" s="292" t="n"/>
      <c r="AB4" s="315" t="n"/>
      <c r="AC4" s="1" t="n"/>
      <c r="AD4" s="5" t="n"/>
    </row>
    <row r="5">
      <c r="D5" s="17" t="n">
        <v>235</v>
      </c>
      <c r="G5" s="315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315" t="n"/>
      <c r="AC5" s="1" t="n"/>
      <c r="AD5" s="5" t="n"/>
    </row>
    <row r="6">
      <c r="D6" s="17" t="n">
        <v>190</v>
      </c>
      <c r="G6" s="315" t="n"/>
      <c r="H6" s="292" t="n"/>
      <c r="I6" s="292" t="n"/>
      <c r="J6" s="292" t="n"/>
      <c r="K6" s="292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2" t="n"/>
      <c r="AA6" s="292" t="n"/>
      <c r="AB6" s="315" t="n"/>
      <c r="AC6" s="1" t="n"/>
      <c r="AD6" s="5" t="n"/>
    </row>
    <row r="7">
      <c r="D7" s="17" t="n">
        <v>260</v>
      </c>
      <c r="G7" s="315" t="n"/>
      <c r="H7" s="292" t="n"/>
      <c r="I7" s="292" t="n"/>
      <c r="J7" s="292" t="n"/>
      <c r="K7" s="292" t="n"/>
      <c r="L7" s="292" t="n"/>
      <c r="M7" s="292" t="n"/>
      <c r="N7" s="292" t="n"/>
      <c r="O7" s="292" t="n"/>
      <c r="P7" s="292" t="n"/>
      <c r="Q7" s="292" t="n"/>
      <c r="R7" s="292" t="n"/>
      <c r="S7" s="292" t="n"/>
      <c r="T7" s="292" t="n"/>
      <c r="U7" s="292" t="n"/>
      <c r="V7" s="292" t="n"/>
      <c r="W7" s="292" t="n"/>
      <c r="X7" s="292" t="n"/>
      <c r="Y7" s="292" t="n"/>
      <c r="Z7" s="292" t="n"/>
      <c r="AA7" s="292" t="n"/>
      <c r="AB7" s="315" t="n"/>
      <c r="AC7" s="1" t="n"/>
      <c r="AD7" s="5" t="n"/>
    </row>
    <row r="8">
      <c r="D8" s="17" t="n">
        <v>210</v>
      </c>
      <c r="G8" s="315" t="n"/>
      <c r="H8" s="292" t="n"/>
      <c r="I8" s="292" t="n"/>
      <c r="J8" s="292" t="n"/>
      <c r="K8" s="292" t="n"/>
      <c r="L8" s="292" t="n"/>
      <c r="M8" s="292" t="n"/>
      <c r="N8" s="292" t="n"/>
      <c r="O8" s="292" t="n"/>
      <c r="P8" s="292" t="n"/>
      <c r="Q8" s="292" t="n"/>
      <c r="R8" s="292" t="n"/>
      <c r="S8" s="292" t="n"/>
      <c r="T8" s="292" t="n"/>
      <c r="U8" s="292" t="n"/>
      <c r="V8" s="292" t="n"/>
      <c r="W8" s="292" t="n"/>
      <c r="X8" s="292" t="n"/>
      <c r="Y8" s="292" t="n"/>
      <c r="Z8" s="292" t="n"/>
      <c r="AA8" s="292" t="n"/>
      <c r="AB8" s="315" t="n"/>
      <c r="AC8" s="1" t="n"/>
      <c r="AD8" s="5" t="n"/>
    </row>
    <row r="9">
      <c r="D9" s="17" t="n">
        <v>220</v>
      </c>
      <c r="G9" s="315" t="n"/>
      <c r="H9" s="292" t="n"/>
      <c r="I9" s="292" t="n"/>
      <c r="J9" s="292" t="n"/>
      <c r="K9" s="292" t="n"/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2" t="n"/>
      <c r="AA9" s="292" t="n"/>
      <c r="AB9" s="315" t="n"/>
      <c r="AC9" s="1" t="n"/>
      <c r="AD9" s="5" t="n"/>
    </row>
    <row r="10">
      <c r="D10" s="17" t="n">
        <v>185</v>
      </c>
      <c r="G10" s="315" t="n"/>
      <c r="H10" s="292" t="n"/>
      <c r="I10" s="292" t="n"/>
      <c r="J10" s="292" t="n"/>
      <c r="K10" s="292" t="n"/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2" t="n"/>
      <c r="AB10" s="315" t="n"/>
      <c r="AC10" s="1" t="n"/>
      <c r="AD10" s="5" t="n"/>
    </row>
    <row r="11">
      <c r="D11" s="17" t="n">
        <v>245</v>
      </c>
      <c r="G11" s="315" t="n"/>
      <c r="H11" s="292" t="n"/>
      <c r="I11" s="292" t="n"/>
      <c r="J11" s="292" t="n"/>
      <c r="K11" s="292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2" t="n"/>
      <c r="AB11" s="315" t="n"/>
      <c r="AC11" s="1" t="n"/>
      <c r="AD11" s="5" t="n"/>
    </row>
    <row r="12">
      <c r="D12" s="17" t="n">
        <v>225</v>
      </c>
      <c r="G12" s="315" t="n"/>
      <c r="H12" s="292" t="n"/>
      <c r="I12" s="292" t="n"/>
      <c r="J12" s="292" t="n"/>
      <c r="K12" s="292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2" t="n"/>
      <c r="AA12" s="292" t="n"/>
      <c r="AB12" s="315" t="n"/>
      <c r="AC12" s="1" t="n"/>
      <c r="AD12" s="5" t="n"/>
    </row>
    <row r="13">
      <c r="D13" s="159" t="n">
        <v>190</v>
      </c>
      <c r="G13" s="315" t="n"/>
      <c r="H13" s="292" t="n"/>
      <c r="I13" s="292" t="n"/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2" t="n"/>
      <c r="AB13" s="315" t="n"/>
      <c r="AC13" s="1" t="n"/>
      <c r="AD13" s="5" t="n"/>
    </row>
    <row r="14">
      <c r="C14" s="91" t="inlineStr">
        <is>
          <t>Average</t>
        </is>
      </c>
      <c r="D14" s="320">
        <f>AVERAGE(D4:D13)</f>
        <v/>
      </c>
      <c r="G14" s="315" t="n"/>
      <c r="H14" s="321" t="n"/>
      <c r="I14" s="321" t="n"/>
      <c r="J14" s="321" t="n"/>
      <c r="K14" s="321" t="n"/>
      <c r="L14" s="321" t="n"/>
      <c r="M14" s="321" t="n"/>
      <c r="N14" s="321" t="n"/>
      <c r="O14" s="321" t="n"/>
      <c r="P14" s="321" t="n"/>
      <c r="Q14" s="321" t="n"/>
      <c r="R14" s="321" t="n"/>
      <c r="S14" s="321" t="n"/>
      <c r="T14" s="321" t="n"/>
      <c r="U14" s="321" t="n"/>
      <c r="V14" s="321" t="n"/>
      <c r="W14" s="321" t="n"/>
      <c r="X14" s="321" t="n"/>
      <c r="Y14" s="321" t="n"/>
      <c r="Z14" s="321" t="n"/>
      <c r="AA14" s="321" t="n"/>
      <c r="AB14" s="315" t="n"/>
      <c r="AC14" s="1" t="n"/>
      <c r="AD14" s="5" t="n"/>
    </row>
    <row r="15">
      <c r="D15" s="315" t="n"/>
      <c r="F15" s="518" t="n"/>
      <c r="G15" s="315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315" t="n"/>
      <c r="AC15" s="1" t="n"/>
      <c r="AD15" s="5" t="n"/>
    </row>
    <row r="16">
      <c r="C16" s="91" t="n"/>
      <c r="D16" s="518" t="n"/>
      <c r="E16" s="518" t="n"/>
      <c r="F16" s="518" t="n"/>
      <c r="G16" s="315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315" t="n"/>
      <c r="AC16" s="1" t="n"/>
      <c r="AD16" s="5" t="n"/>
    </row>
    <row r="17">
      <c r="D17" s="519" t="n"/>
      <c r="E17" s="520" t="n"/>
      <c r="F17" s="520" t="n"/>
      <c r="G17" s="325" t="n"/>
      <c r="H17" s="292" t="n"/>
      <c r="I17" s="292" t="n"/>
      <c r="J17" s="292" t="n"/>
      <c r="K17" s="292" t="n"/>
      <c r="L17" s="292" t="n"/>
      <c r="M17" s="292" t="n"/>
      <c r="N17" s="292" t="n"/>
      <c r="O17" s="292" t="n"/>
      <c r="P17" s="292" t="n"/>
      <c r="Q17" s="292" t="n"/>
      <c r="R17" s="292" t="n"/>
      <c r="S17" s="292" t="n"/>
      <c r="T17" s="292" t="n"/>
      <c r="U17" s="292" t="n"/>
      <c r="V17" s="292" t="n"/>
      <c r="W17" s="292" t="n"/>
      <c r="X17" s="292" t="n"/>
      <c r="Y17" s="292" t="n"/>
      <c r="Z17" s="292" t="n"/>
      <c r="AA17" s="292" t="n"/>
      <c r="AB17" s="315" t="n"/>
      <c r="AC17" s="1" t="n"/>
      <c r="AD17" s="5" t="n"/>
    </row>
    <row r="18">
      <c r="C18" s="326" t="n"/>
      <c r="D18" s="521" t="n"/>
      <c r="E18" s="522" t="n"/>
      <c r="F18" s="522" t="n"/>
      <c r="G18" s="27" t="inlineStr">
        <is>
          <t>Sorted</t>
        </is>
      </c>
      <c r="H18" s="321" t="n"/>
      <c r="I18" s="321" t="n"/>
      <c r="J18" s="321" t="n"/>
      <c r="K18" s="321" t="n"/>
      <c r="L18" s="321" t="n"/>
      <c r="M18" s="321" t="n"/>
      <c r="N18" s="321" t="n"/>
      <c r="O18" s="321" t="n"/>
      <c r="P18" s="321" t="n"/>
      <c r="Q18" s="321" t="n"/>
      <c r="R18" s="321" t="n"/>
      <c r="S18" s="321" t="n"/>
      <c r="T18" s="321" t="n"/>
      <c r="U18" s="321" t="n"/>
      <c r="V18" s="321" t="n"/>
      <c r="W18" s="321" t="n"/>
      <c r="X18" s="321" t="n"/>
      <c r="Y18" s="321" t="n"/>
      <c r="Z18" s="428" t="n"/>
      <c r="AA18" s="321" t="n"/>
      <c r="AB18" s="315" t="n"/>
      <c r="AC18" s="1" t="n"/>
      <c r="AD18" s="5" t="n"/>
    </row>
    <row r="19">
      <c r="E19" s="315" t="n"/>
      <c r="F19" s="315" t="n"/>
      <c r="G19" s="315" t="n"/>
      <c r="H19" s="315" t="n"/>
      <c r="I19" s="315" t="n"/>
      <c r="J19" s="315" t="n"/>
      <c r="K19" s="315" t="n"/>
      <c r="L19" s="315" t="n"/>
      <c r="M19" s="315" t="n"/>
      <c r="N19" s="315" t="n"/>
      <c r="O19" s="315" t="n"/>
      <c r="P19" s="315" t="n"/>
      <c r="Q19" s="315" t="n"/>
      <c r="R19" s="315" t="n"/>
      <c r="S19" s="315" t="n"/>
      <c r="T19" s="315" t="n"/>
      <c r="U19" s="315" t="n"/>
      <c r="V19" s="315" t="n"/>
      <c r="W19" s="315" t="n"/>
      <c r="X19" s="315" t="n"/>
      <c r="Y19" s="315" t="n"/>
      <c r="Z19" s="315" t="n"/>
      <c r="AA19" s="315" t="n"/>
      <c r="AB19" s="315" t="n"/>
      <c r="AC19" s="1" t="n"/>
      <c r="AD19" s="5" t="n"/>
    </row>
    <row r="20">
      <c r="G20" s="315" t="n"/>
      <c r="H20" s="315" t="n"/>
      <c r="I20" s="315" t="n"/>
      <c r="J20" s="315" t="n"/>
      <c r="K20" s="315" t="n"/>
      <c r="L20" s="315" t="n"/>
      <c r="M20" s="315" t="n"/>
      <c r="N20" s="315" t="n"/>
      <c r="O20" s="315" t="n"/>
      <c r="P20" s="315" t="n"/>
      <c r="Q20" s="315" t="n"/>
      <c r="R20" s="315" t="n"/>
      <c r="S20" s="315" t="n"/>
      <c r="T20" s="315" t="n"/>
      <c r="U20" s="315" t="n"/>
      <c r="V20" s="315" t="n"/>
      <c r="W20" s="315" t="n"/>
      <c r="X20" s="315" t="n"/>
      <c r="Y20" s="315" t="n"/>
      <c r="Z20" s="315" t="n"/>
      <c r="AA20" s="315" t="n"/>
      <c r="AB20" s="315" t="n"/>
      <c r="AC20" s="1" t="n"/>
      <c r="AD20" s="5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 codeName="Sheet15">
    <outlinePr summaryBelow="1" summaryRight="1"/>
    <pageSetUpPr/>
  </sheetPr>
  <dimension ref="A1:T49"/>
  <sheetViews>
    <sheetView tabSelected="1" zoomScale="114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8" sqref="T28"/>
    </sheetView>
  </sheetViews>
  <sheetFormatPr baseColWidth="10" defaultColWidth="8.83203125" defaultRowHeight="15"/>
  <cols>
    <col width="3.33203125" customWidth="1" style="348" min="1" max="1"/>
    <col width="4.33203125" customWidth="1" min="2" max="2"/>
    <col width="16" customWidth="1" min="3" max="3"/>
    <col width="15.6640625" customWidth="1" min="4" max="4"/>
    <col width="16.6640625" customWidth="1" min="5" max="5"/>
    <col width="18" customWidth="1" min="6" max="6"/>
  </cols>
  <sheetData>
    <row r="1" customFormat="1" s="348"/>
    <row r="2">
      <c r="B2" s="17" t="n"/>
      <c r="C2" s="17" t="n"/>
      <c r="D2" s="17" t="n"/>
      <c r="E2" s="17" t="n"/>
      <c r="F2" s="17" t="n"/>
      <c r="G2" s="439" t="n"/>
    </row>
    <row r="3">
      <c r="B3" s="17" t="n"/>
      <c r="C3" s="27" t="inlineStr">
        <is>
          <t>Results of the survey</t>
        </is>
      </c>
      <c r="D3" s="1" t="n"/>
      <c r="E3" s="1" t="n"/>
      <c r="F3" s="1" t="n"/>
      <c r="G3" s="438" t="n"/>
      <c r="J3" s="5" t="n"/>
      <c r="K3" s="5" t="n"/>
      <c r="L3" s="5" t="n"/>
      <c r="M3" s="5" t="n"/>
      <c r="N3" s="5" t="n"/>
      <c r="O3" s="5" t="n"/>
    </row>
    <row r="4" ht="14.25" customHeight="1">
      <c r="B4" s="17" t="n"/>
      <c r="C4" s="431" t="inlineStr">
        <is>
          <t>Number of respondents:</t>
        </is>
      </c>
      <c r="F4" s="49" t="n">
        <v>40</v>
      </c>
      <c r="G4" s="438" t="n"/>
      <c r="H4" s="16" t="n"/>
      <c r="J4" s="5" t="n"/>
      <c r="K4" s="5" t="n"/>
      <c r="L4" s="5" t="n"/>
      <c r="M4" s="5" t="n"/>
      <c r="N4" s="5" t="n"/>
      <c r="O4" s="5" t="n"/>
    </row>
    <row r="5">
      <c r="B5" s="17" t="n"/>
      <c r="C5" s="431" t="inlineStr">
        <is>
          <t xml:space="preserve">Percentage of potential customers surveyed: </t>
        </is>
      </c>
      <c r="F5" s="49" t="n">
        <v>0.01</v>
      </c>
      <c r="G5" s="46">
        <f>"(1%)"</f>
        <v/>
      </c>
      <c r="I5" s="47" t="n"/>
      <c r="J5" s="6" t="n"/>
      <c r="K5" s="6" t="n"/>
      <c r="L5" s="6" t="n"/>
      <c r="M5" s="6" t="n"/>
      <c r="N5" s="6" t="n"/>
      <c r="O5" s="5" t="n"/>
    </row>
    <row r="6">
      <c r="B6" s="17" t="n"/>
      <c r="C6" s="438" t="n"/>
      <c r="D6" s="438" t="n"/>
      <c r="E6" s="1" t="n"/>
      <c r="F6" s="1" t="n"/>
      <c r="G6" s="32" t="n"/>
      <c r="H6" s="5" t="n"/>
      <c r="I6" s="6" t="n"/>
      <c r="J6" s="523" t="n"/>
      <c r="K6" s="523" t="n"/>
      <c r="L6" s="523" t="n"/>
      <c r="M6" s="523" t="n"/>
      <c r="N6" s="523" t="n"/>
      <c r="O6" s="5" t="n"/>
    </row>
    <row r="7" ht="34" customHeight="1">
      <c r="B7" s="17" t="n"/>
      <c r="C7" s="56" t="inlineStr">
        <is>
          <t>Test Person ID</t>
        </is>
      </c>
      <c r="D7" s="56" t="inlineStr">
        <is>
          <t>Price (CHF)</t>
        </is>
      </c>
      <c r="E7" s="56" t="inlineStr">
        <is>
          <t>Sample demand at this price point</t>
        </is>
      </c>
      <c r="F7" s="56" t="inlineStr">
        <is>
          <t>Market demand at this price point</t>
        </is>
      </c>
      <c r="G7" s="31" t="n"/>
    </row>
    <row r="8">
      <c r="B8" s="17" t="n"/>
      <c r="C8" s="50" t="n">
        <v>1</v>
      </c>
      <c r="D8" s="50" t="n">
        <v>641</v>
      </c>
      <c r="E8" s="51" t="n"/>
      <c r="F8" s="51" t="n"/>
      <c r="G8" s="439" t="n"/>
    </row>
    <row r="9">
      <c r="B9" s="17" t="n"/>
      <c r="C9" s="50" t="n">
        <v>2</v>
      </c>
      <c r="D9" s="50" t="n">
        <v>59</v>
      </c>
      <c r="E9" s="51" t="n"/>
      <c r="F9" s="51" t="n"/>
      <c r="G9" s="439" t="n"/>
    </row>
    <row r="10">
      <c r="B10" s="17" t="n"/>
      <c r="C10" s="50" t="n">
        <v>3</v>
      </c>
      <c r="D10" s="50" t="n">
        <v>168</v>
      </c>
      <c r="E10" s="51" t="n"/>
      <c r="F10" s="51" t="n"/>
      <c r="G10" s="17" t="n"/>
    </row>
    <row r="11">
      <c r="B11" s="17" t="n"/>
      <c r="C11" s="50" t="n">
        <v>4</v>
      </c>
      <c r="D11" s="50" t="n">
        <v>302</v>
      </c>
      <c r="E11" s="51" t="n"/>
      <c r="F11" s="51" t="n"/>
      <c r="G11" s="17" t="n"/>
    </row>
    <row r="12">
      <c r="B12" s="17" t="n"/>
      <c r="C12" s="50" t="n">
        <v>5</v>
      </c>
      <c r="D12" s="50" t="n">
        <v>12</v>
      </c>
      <c r="E12" s="51" t="n"/>
      <c r="F12" s="51" t="n"/>
      <c r="G12" s="17" t="n"/>
      <c r="I12" s="16" t="n"/>
    </row>
    <row r="13">
      <c r="B13" s="17" t="n"/>
      <c r="C13" s="50" t="n">
        <v>6</v>
      </c>
      <c r="D13" s="50" t="n">
        <v>597</v>
      </c>
      <c r="E13" s="51" t="n"/>
      <c r="F13" s="51" t="n"/>
      <c r="G13" s="17" t="n"/>
      <c r="I13" s="28" t="n"/>
    </row>
    <row r="14">
      <c r="B14" s="17" t="n"/>
      <c r="C14" s="50" t="n">
        <v>7</v>
      </c>
      <c r="D14" s="50" t="n">
        <v>272</v>
      </c>
      <c r="E14" s="51" t="n"/>
      <c r="F14" s="51" t="n"/>
      <c r="G14" s="17" t="n"/>
      <c r="I14" s="28" t="n"/>
    </row>
    <row r="15">
      <c r="B15" s="17" t="n"/>
      <c r="C15" s="50" t="n">
        <v>8</v>
      </c>
      <c r="D15" s="50" t="n">
        <v>12</v>
      </c>
      <c r="E15" s="51" t="n"/>
      <c r="F15" s="51" t="n"/>
      <c r="G15" s="17" t="n"/>
      <c r="H15" s="47" t="n"/>
      <c r="I15" s="28" t="n"/>
      <c r="J15" s="53" t="n"/>
      <c r="K15" s="53" t="n"/>
      <c r="L15" s="53" t="n"/>
      <c r="M15" s="53" t="n"/>
      <c r="N15" s="53" t="n"/>
    </row>
    <row r="16">
      <c r="B16" s="17" t="n"/>
      <c r="C16" s="50" t="n">
        <v>9</v>
      </c>
      <c r="D16" s="50" t="n">
        <v>437</v>
      </c>
      <c r="E16" s="51" t="n"/>
      <c r="F16" s="51" t="n"/>
      <c r="G16" s="17" t="n"/>
      <c r="H16" s="47" t="n"/>
      <c r="I16" s="54" t="n"/>
    </row>
    <row r="17">
      <c r="B17" s="17" t="n"/>
      <c r="C17" s="50" t="n">
        <v>10</v>
      </c>
      <c r="D17" s="50" t="n">
        <v>1107</v>
      </c>
      <c r="E17" s="51" t="n"/>
      <c r="F17" s="51" t="n"/>
      <c r="G17" s="17" t="n"/>
      <c r="H17" s="47" t="n"/>
      <c r="I17" s="54" t="n"/>
    </row>
    <row r="18">
      <c r="B18" s="17" t="n"/>
      <c r="C18" s="50" t="n">
        <v>11</v>
      </c>
      <c r="D18" s="50" t="n">
        <v>302</v>
      </c>
      <c r="E18" s="51" t="n"/>
      <c r="F18" s="51" t="n"/>
      <c r="G18" s="17" t="n"/>
      <c r="H18" s="16" t="n"/>
      <c r="I18" s="54" t="n"/>
    </row>
    <row r="19">
      <c r="B19" s="17" t="n"/>
      <c r="C19" s="50" t="n">
        <v>12</v>
      </c>
      <c r="D19" s="50" t="n">
        <v>782</v>
      </c>
      <c r="E19" s="51" t="n"/>
      <c r="F19" s="51" t="n"/>
      <c r="G19" s="17" t="n"/>
      <c r="J19" s="29" t="n"/>
      <c r="K19" s="29" t="n"/>
      <c r="L19" s="29" t="n"/>
      <c r="M19" s="29" t="n"/>
      <c r="N19" s="29" t="n"/>
    </row>
    <row r="20">
      <c r="B20" s="17" t="n"/>
      <c r="C20" s="50" t="n">
        <v>13</v>
      </c>
      <c r="D20" s="50" t="n">
        <v>107</v>
      </c>
      <c r="E20" s="51" t="n"/>
      <c r="F20" s="51" t="n"/>
      <c r="G20" s="439" t="n"/>
      <c r="H20" s="16" t="n"/>
    </row>
    <row r="21">
      <c r="B21" s="17" t="n"/>
      <c r="C21" s="50" t="n">
        <v>14</v>
      </c>
      <c r="D21" s="50" t="n">
        <v>244</v>
      </c>
      <c r="E21" s="51" t="n"/>
      <c r="F21" s="51" t="n"/>
      <c r="G21" s="30" t="n"/>
      <c r="H21" s="28" t="n"/>
      <c r="I21" s="47" t="n"/>
    </row>
    <row r="22">
      <c r="B22" s="17" t="n"/>
      <c r="C22" s="50" t="n">
        <v>15</v>
      </c>
      <c r="D22" s="50" t="n">
        <v>686</v>
      </c>
      <c r="E22" s="51" t="n"/>
      <c r="F22" s="51" t="n"/>
      <c r="G22" s="17" t="n"/>
      <c r="H22" s="16" t="n"/>
      <c r="J22" s="48" t="n"/>
      <c r="K22" s="48" t="n"/>
      <c r="L22" s="48" t="n"/>
      <c r="M22" s="48" t="n"/>
      <c r="N22" s="48" t="n"/>
    </row>
    <row r="23">
      <c r="B23" s="17" t="n"/>
      <c r="C23" s="50" t="n">
        <v>16</v>
      </c>
      <c r="D23" s="50" t="n">
        <v>1049</v>
      </c>
      <c r="E23" s="51" t="n"/>
      <c r="F23" s="51" t="n"/>
      <c r="G23" s="17" t="n"/>
    </row>
    <row r="24">
      <c r="B24" s="17" t="n"/>
      <c r="C24" s="50" t="n">
        <v>17</v>
      </c>
      <c r="D24" s="50" t="n">
        <v>333</v>
      </c>
      <c r="E24" s="51" t="n"/>
      <c r="F24" s="51" t="n"/>
      <c r="G24" s="17" t="n"/>
      <c r="H24" s="16" t="n"/>
      <c r="J24" s="48" t="n"/>
      <c r="K24" s="48" t="n"/>
      <c r="L24" s="48" t="n"/>
      <c r="M24" s="48" t="n"/>
      <c r="N24" s="48" t="n"/>
    </row>
    <row r="25">
      <c r="B25" s="17" t="n"/>
      <c r="C25" s="50" t="n">
        <v>18</v>
      </c>
      <c r="D25" s="50" t="n">
        <v>832</v>
      </c>
      <c r="E25" s="51" t="n"/>
      <c r="F25" s="51" t="n"/>
      <c r="G25" s="17" t="n"/>
    </row>
    <row r="26">
      <c r="B26" s="17" t="n"/>
      <c r="C26" s="50" t="n">
        <v>19</v>
      </c>
      <c r="D26" s="50" t="n">
        <v>126</v>
      </c>
      <c r="E26" s="51" t="n"/>
      <c r="F26" s="51" t="n"/>
      <c r="G26" s="17" t="n"/>
    </row>
    <row r="27">
      <c r="B27" s="17" t="n"/>
      <c r="C27" s="50" t="n">
        <v>20</v>
      </c>
      <c r="D27" s="50" t="n">
        <v>782</v>
      </c>
      <c r="E27" s="51" t="n"/>
      <c r="F27" s="51" t="n"/>
      <c r="G27" s="17" t="n"/>
      <c r="R27">
        <f>450</f>
        <v/>
      </c>
      <c r="S27">
        <f> -0.000005*R27^3 + 0.0099*R27^2 - 8.9373*R27 + 4059.6</f>
        <v/>
      </c>
      <c r="T27">
        <f>R27*S27</f>
        <v/>
      </c>
    </row>
    <row r="28">
      <c r="B28" s="17" t="n"/>
      <c r="C28" s="50" t="n">
        <v>21</v>
      </c>
      <c r="D28" s="50" t="n">
        <v>59</v>
      </c>
      <c r="E28" s="51" t="n"/>
      <c r="F28" s="51" t="n"/>
      <c r="G28" s="17" t="n"/>
    </row>
    <row r="29">
      <c r="B29" s="17" t="n"/>
      <c r="C29" s="50" t="n">
        <v>22</v>
      </c>
      <c r="D29" s="50" t="n">
        <v>686</v>
      </c>
      <c r="E29" s="51" t="n"/>
      <c r="F29" s="51" t="n"/>
      <c r="G29" s="17" t="n"/>
    </row>
    <row r="30">
      <c r="B30" s="17" t="n"/>
      <c r="C30" s="50" t="n">
        <v>23</v>
      </c>
      <c r="D30" s="50" t="n">
        <v>126</v>
      </c>
      <c r="E30" s="51" t="n"/>
      <c r="F30" s="51" t="n"/>
      <c r="G30" s="17" t="n"/>
    </row>
    <row r="31">
      <c r="B31" s="17" t="n"/>
      <c r="C31" s="50" t="n">
        <v>24</v>
      </c>
      <c r="D31" s="50" t="n">
        <v>126</v>
      </c>
      <c r="E31" s="51" t="n"/>
      <c r="F31" s="51" t="n"/>
      <c r="G31" s="17" t="n"/>
    </row>
    <row r="32">
      <c r="B32" s="17" t="n"/>
      <c r="C32" s="50" t="n">
        <v>25</v>
      </c>
      <c r="D32" s="50" t="n">
        <v>26</v>
      </c>
      <c r="E32" s="51" t="n"/>
      <c r="F32" s="51" t="n"/>
      <c r="G32" s="17" t="n"/>
    </row>
    <row r="33">
      <c r="B33" s="17" t="n"/>
      <c r="C33" s="50" t="n">
        <v>26</v>
      </c>
      <c r="D33" s="50" t="n">
        <v>168</v>
      </c>
      <c r="E33" s="51" t="n"/>
      <c r="F33" s="51" t="n"/>
      <c r="G33" s="17" t="n"/>
    </row>
    <row r="34">
      <c r="B34" s="17" t="n"/>
      <c r="C34" s="50" t="n">
        <v>27</v>
      </c>
      <c r="D34" s="50" t="n">
        <v>555</v>
      </c>
      <c r="E34" s="51" t="n"/>
      <c r="F34" s="51" t="n"/>
      <c r="G34" s="17" t="n"/>
    </row>
    <row r="35">
      <c r="B35" s="17" t="n"/>
      <c r="C35" s="50" t="n">
        <v>28</v>
      </c>
      <c r="D35" s="50" t="n">
        <v>366</v>
      </c>
      <c r="E35" s="51" t="n"/>
      <c r="F35" s="51" t="n"/>
      <c r="G35" s="17" t="n"/>
    </row>
    <row r="36">
      <c r="B36" s="17" t="n"/>
      <c r="C36" s="50" t="n">
        <v>29</v>
      </c>
      <c r="D36" s="50" t="n">
        <v>884</v>
      </c>
      <c r="E36" s="51" t="n"/>
      <c r="F36" s="51" t="n"/>
      <c r="G36" s="17" t="n"/>
    </row>
    <row r="37">
      <c r="B37" s="17" t="n"/>
      <c r="C37" s="50" t="n">
        <v>30</v>
      </c>
      <c r="D37" s="50" t="n">
        <v>126</v>
      </c>
      <c r="E37" s="51" t="n"/>
      <c r="F37" s="51" t="n"/>
      <c r="G37" s="17" t="n"/>
    </row>
    <row r="38">
      <c r="B38" s="17" t="n"/>
      <c r="C38" s="50" t="n">
        <v>31</v>
      </c>
      <c r="D38" s="50" t="n">
        <v>1049</v>
      </c>
      <c r="E38" s="51" t="n"/>
      <c r="F38" s="51" t="n"/>
      <c r="G38" s="17" t="n"/>
    </row>
    <row r="39">
      <c r="B39" s="17" t="n"/>
      <c r="C39" s="50" t="n">
        <v>32</v>
      </c>
      <c r="D39" s="50" t="n">
        <v>832</v>
      </c>
      <c r="E39" s="51" t="n"/>
      <c r="F39" s="51" t="n"/>
      <c r="G39" s="17" t="n"/>
    </row>
    <row r="40">
      <c r="B40" s="17" t="n"/>
      <c r="C40" s="50" t="n">
        <v>33</v>
      </c>
      <c r="D40" s="50" t="n">
        <v>192</v>
      </c>
      <c r="E40" s="51" t="n"/>
      <c r="F40" s="51" t="n"/>
      <c r="G40" s="17" t="n"/>
    </row>
    <row r="41">
      <c r="B41" s="17" t="n"/>
      <c r="C41" s="50" t="n">
        <v>34</v>
      </c>
      <c r="D41" s="50" t="n">
        <v>244</v>
      </c>
      <c r="E41" s="51" t="n"/>
      <c r="F41" s="51" t="n"/>
      <c r="G41" s="17" t="n"/>
    </row>
    <row r="42">
      <c r="B42" s="17" t="n"/>
      <c r="C42" s="50" t="n">
        <v>35</v>
      </c>
      <c r="D42" s="50" t="n">
        <v>884</v>
      </c>
      <c r="E42" s="51" t="n"/>
      <c r="F42" s="51" t="n"/>
      <c r="G42" s="17" t="n"/>
    </row>
    <row r="43">
      <c r="B43" s="17" t="n"/>
      <c r="C43" s="50" t="n">
        <v>36</v>
      </c>
      <c r="D43" s="50" t="n">
        <v>217</v>
      </c>
      <c r="E43" s="51" t="n"/>
      <c r="F43" s="51" t="n"/>
      <c r="G43" s="17" t="n"/>
    </row>
    <row r="44">
      <c r="B44" s="17" t="n"/>
      <c r="C44" s="50" t="n">
        <v>37</v>
      </c>
      <c r="D44" s="50" t="n">
        <v>333</v>
      </c>
      <c r="E44" s="51" t="n"/>
      <c r="F44" s="51" t="n"/>
      <c r="G44" s="17" t="n"/>
    </row>
    <row r="45">
      <c r="B45" s="17" t="n"/>
      <c r="C45" s="50" t="n">
        <v>38</v>
      </c>
      <c r="D45" s="50" t="n">
        <v>782</v>
      </c>
      <c r="E45" s="51" t="n"/>
      <c r="F45" s="51" t="n"/>
      <c r="G45" s="17" t="n"/>
    </row>
    <row r="46">
      <c r="B46" s="17" t="n"/>
      <c r="C46" s="50" t="n">
        <v>39</v>
      </c>
      <c r="D46" s="50" t="n">
        <v>59</v>
      </c>
      <c r="E46" s="51" t="n"/>
      <c r="F46" s="51" t="n"/>
      <c r="G46" s="17" t="n"/>
    </row>
    <row r="47">
      <c r="B47" s="17" t="n"/>
      <c r="C47" s="50" t="n">
        <v>40</v>
      </c>
      <c r="D47" s="50" t="n">
        <v>4</v>
      </c>
      <c r="E47" s="51" t="n"/>
      <c r="F47" s="51" t="n"/>
      <c r="G47" s="17" t="n"/>
    </row>
    <row r="48">
      <c r="B48" s="17" t="n"/>
      <c r="C48" s="17" t="n"/>
      <c r="D48" s="17" t="n"/>
      <c r="E48" s="17" t="n"/>
      <c r="F48" s="17" t="n"/>
      <c r="G48" s="17" t="n"/>
    </row>
    <row r="49">
      <c r="B49" s="17" t="n"/>
      <c r="C49" s="17" t="n"/>
      <c r="D49" s="17" t="n"/>
      <c r="E49" s="17" t="n"/>
      <c r="F49" s="17" t="n"/>
      <c r="G49" s="17" t="n"/>
    </row>
  </sheetData>
  <mergeCells count="2">
    <mergeCell ref="C4:E4"/>
    <mergeCell ref="C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7">
    <outlinePr summaryBelow="1" summaryRight="1"/>
    <pageSetUpPr/>
  </sheetPr>
  <dimension ref="A1:P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7" sqref="G17"/>
    </sheetView>
  </sheetViews>
  <sheetFormatPr baseColWidth="10" defaultColWidth="8.83203125" defaultRowHeight="15"/>
  <cols>
    <col width="3.5" customWidth="1" style="348" min="1" max="1"/>
    <col width="11.33203125" customWidth="1" min="3" max="3"/>
    <col width="12.33203125" customWidth="1" min="4" max="4"/>
    <col width="13.33203125" customWidth="1" min="5" max="5"/>
    <col width="20" customWidth="1" min="6" max="6"/>
    <col width="12.6640625" customWidth="1" min="7" max="7"/>
    <col width="10.6640625" customWidth="1" min="9" max="9"/>
    <col width="17" customWidth="1" min="10" max="10"/>
    <col width="22" customWidth="1" min="11" max="11"/>
    <col width="12.83203125" customWidth="1" min="12" max="12"/>
  </cols>
  <sheetData>
    <row r="1" ht="16" customFormat="1" customHeight="1" s="348">
      <c r="A1" s="357" t="n"/>
      <c r="B1" s="358" t="n"/>
      <c r="C1" s="359" t="n"/>
      <c r="D1" s="360" t="n"/>
      <c r="E1" s="360" t="n"/>
      <c r="F1" s="360" t="n"/>
      <c r="G1" s="360" t="n"/>
      <c r="H1" s="360" t="n"/>
      <c r="I1" s="358" t="n"/>
      <c r="J1" s="358" t="n"/>
      <c r="K1" s="358" t="n"/>
      <c r="L1" s="358" t="n"/>
      <c r="M1" s="358" t="n"/>
    </row>
    <row r="2" ht="16" customHeight="1">
      <c r="A2" s="357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17" t="n"/>
      <c r="O2" s="17" t="n"/>
      <c r="P2" s="17" t="n"/>
    </row>
    <row r="3" ht="16" customHeight="1">
      <c r="A3" s="357" t="n"/>
      <c r="B3" s="26" t="n"/>
      <c r="C3" s="33" t="inlineStr">
        <is>
          <t>Willingness to pay (WTP) in CHF</t>
        </is>
      </c>
      <c r="D3" s="26" t="n"/>
      <c r="E3" s="26" t="n"/>
      <c r="F3" s="26" t="n"/>
      <c r="G3" s="26" t="n"/>
      <c r="H3" s="26" t="n"/>
      <c r="I3" s="33" t="inlineStr">
        <is>
          <t>Consumer surplus (CS)</t>
        </is>
      </c>
      <c r="J3" s="26" t="n"/>
      <c r="K3" s="26" t="n"/>
      <c r="L3" s="26" t="n"/>
      <c r="M3" s="26" t="n"/>
      <c r="N3" s="26" t="n"/>
      <c r="O3" s="26" t="n"/>
      <c r="P3" s="17" t="n"/>
    </row>
    <row r="4" ht="17" customHeight="1">
      <c r="A4" s="357" t="n"/>
      <c r="B4" s="26" t="n"/>
      <c r="C4" s="330" t="inlineStr">
        <is>
          <t>Customer</t>
        </is>
      </c>
      <c r="D4" s="331" t="inlineStr">
        <is>
          <t>Food</t>
        </is>
      </c>
      <c r="E4" s="333" t="inlineStr">
        <is>
          <t>Drinks</t>
        </is>
      </c>
      <c r="F4" s="333" t="inlineStr">
        <is>
          <t>Disposable cutlery</t>
        </is>
      </c>
      <c r="G4" s="332" t="inlineStr">
        <is>
          <t>Bundle</t>
        </is>
      </c>
      <c r="H4" s="26" t="n"/>
      <c r="I4" s="330" t="inlineStr">
        <is>
          <t>CS Food</t>
        </is>
      </c>
      <c r="J4" s="331" t="inlineStr">
        <is>
          <t>CS Drinks</t>
        </is>
      </c>
      <c r="K4" s="331" t="inlineStr">
        <is>
          <t>CS Disposable cutlery</t>
        </is>
      </c>
      <c r="L4" s="331" t="inlineStr">
        <is>
          <t>CS Bundle</t>
        </is>
      </c>
      <c r="M4" s="331" t="inlineStr">
        <is>
          <t>Max CS</t>
        </is>
      </c>
      <c r="N4" s="331" t="inlineStr">
        <is>
          <t>Option</t>
        </is>
      </c>
      <c r="O4" s="332" t="inlineStr">
        <is>
          <t>Profit</t>
        </is>
      </c>
      <c r="P4" s="17" t="n"/>
    </row>
    <row r="5" ht="16" customHeight="1">
      <c r="A5" s="357" t="n"/>
      <c r="B5" s="26" t="n"/>
      <c r="C5" s="135" t="n">
        <v>1</v>
      </c>
      <c r="D5" s="34" t="n">
        <v>500</v>
      </c>
      <c r="E5" s="34" t="n">
        <v>200</v>
      </c>
      <c r="F5" s="34" t="n">
        <v>40</v>
      </c>
      <c r="G5" s="136" t="n">
        <v>740</v>
      </c>
      <c r="H5" s="26" t="n"/>
      <c r="I5" s="139" t="n"/>
      <c r="J5" s="139" t="n"/>
      <c r="K5" s="139" t="n"/>
      <c r="L5" s="139" t="n"/>
      <c r="M5" s="150" t="n"/>
      <c r="N5" s="151" t="n"/>
      <c r="O5" s="151" t="n"/>
      <c r="P5" s="17" t="n"/>
    </row>
    <row r="6" ht="16" customHeight="1">
      <c r="A6" s="357" t="n"/>
      <c r="B6" s="26" t="n"/>
      <c r="C6" s="135" t="n">
        <v>2</v>
      </c>
      <c r="D6" s="34" t="n">
        <v>800</v>
      </c>
      <c r="E6" s="34" t="n">
        <v>120</v>
      </c>
      <c r="F6" s="34" t="n">
        <v>0</v>
      </c>
      <c r="G6" s="136" t="n">
        <v>920</v>
      </c>
      <c r="H6" s="26" t="n"/>
      <c r="I6" s="152" t="n"/>
      <c r="J6" s="149" t="n"/>
      <c r="K6" s="149" t="n"/>
      <c r="L6" s="149" t="n"/>
      <c r="M6" s="150" t="n"/>
      <c r="N6" s="151" t="n"/>
      <c r="O6" s="151" t="n"/>
      <c r="P6" s="17" t="n"/>
    </row>
    <row r="7" ht="16" customHeight="1">
      <c r="A7" s="357" t="n"/>
      <c r="B7" s="26" t="n"/>
      <c r="C7" s="135" t="n">
        <v>3</v>
      </c>
      <c r="D7" s="34" t="n">
        <v>670</v>
      </c>
      <c r="E7" s="34" t="n">
        <v>40</v>
      </c>
      <c r="F7" s="34" t="n">
        <v>20</v>
      </c>
      <c r="G7" s="136" t="n">
        <v>730</v>
      </c>
      <c r="H7" s="26" t="n"/>
      <c r="I7" s="152" t="n"/>
      <c r="J7" s="149" t="n"/>
      <c r="K7" s="149" t="n"/>
      <c r="L7" s="149" t="n"/>
      <c r="M7" s="150" t="n"/>
      <c r="N7" s="151" t="n"/>
      <c r="O7" s="151" t="n"/>
      <c r="P7" s="17" t="n"/>
    </row>
    <row r="8" ht="16" customHeight="1">
      <c r="A8" s="357" t="n"/>
      <c r="B8" s="26" t="n"/>
      <c r="C8" s="135" t="n">
        <v>4</v>
      </c>
      <c r="D8" s="34" t="n">
        <v>580</v>
      </c>
      <c r="E8" s="34" t="n">
        <v>0</v>
      </c>
      <c r="F8" s="34" t="n">
        <v>40</v>
      </c>
      <c r="G8" s="136" t="n">
        <v>620</v>
      </c>
      <c r="H8" s="26" t="n"/>
      <c r="I8" s="152" t="n"/>
      <c r="J8" s="149" t="n"/>
      <c r="K8" s="149" t="n"/>
      <c r="L8" s="149" t="n"/>
      <c r="M8" s="150" t="n"/>
      <c r="N8" s="151" t="n"/>
      <c r="O8" s="151" t="n"/>
      <c r="P8" s="17" t="n"/>
    </row>
    <row r="9" ht="16" customHeight="1">
      <c r="A9" s="357" t="n"/>
      <c r="B9" s="26" t="n"/>
      <c r="C9" s="137" t="n">
        <v>5</v>
      </c>
      <c r="D9" s="143" t="n">
        <v>700</v>
      </c>
      <c r="E9" s="143" t="n">
        <v>110</v>
      </c>
      <c r="F9" s="143" t="n">
        <v>20</v>
      </c>
      <c r="G9" s="138" t="n">
        <v>830</v>
      </c>
      <c r="H9" s="26" t="n"/>
      <c r="I9" s="153" t="n"/>
      <c r="J9" s="154" t="n"/>
      <c r="K9" s="154" t="n"/>
      <c r="L9" s="154" t="n"/>
      <c r="M9" s="150" t="n"/>
      <c r="N9" s="151" t="n"/>
      <c r="O9" s="151" t="n"/>
      <c r="P9" s="17" t="n"/>
    </row>
    <row r="10" ht="16" customHeight="1">
      <c r="A10" s="357" t="n"/>
      <c r="B10" s="26" t="n"/>
      <c r="C10" s="34" t="n"/>
      <c r="D10" s="34" t="n"/>
      <c r="E10" s="34" t="n"/>
      <c r="F10" s="34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17" t="n"/>
    </row>
    <row r="11" ht="16" customHeight="1">
      <c r="A11" s="357" t="n"/>
      <c r="B11" s="26" t="n"/>
      <c r="C11" s="142" t="n"/>
      <c r="D11" s="144" t="n">
        <v>1</v>
      </c>
      <c r="E11" s="144" t="n">
        <v>2</v>
      </c>
      <c r="F11" s="144" t="n">
        <v>3</v>
      </c>
      <c r="G11" s="145" t="n">
        <v>4</v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17" t="n"/>
    </row>
    <row r="12" ht="17" customHeight="1">
      <c r="A12" s="357" t="n"/>
      <c r="B12" s="26" t="n"/>
      <c r="C12" s="140" t="inlineStr">
        <is>
          <t>Costs</t>
        </is>
      </c>
      <c r="D12" s="143" t="n">
        <v>400</v>
      </c>
      <c r="E12" s="143" t="n">
        <v>100</v>
      </c>
      <c r="F12" s="143" t="n">
        <v>20</v>
      </c>
      <c r="G12" s="146">
        <f>SUM(D12:F12)</f>
        <v/>
      </c>
      <c r="H12" s="26" t="n"/>
      <c r="I12" s="26" t="n"/>
      <c r="J12" s="26" t="n"/>
      <c r="K12" s="26" t="n"/>
      <c r="L12" s="26" t="n"/>
      <c r="M12" s="26" t="n"/>
      <c r="N12" s="26" t="n"/>
      <c r="O12" s="26" t="n"/>
      <c r="P12" s="17" t="n"/>
    </row>
    <row r="13" ht="16" customHeight="1">
      <c r="A13" s="357" t="n"/>
      <c r="B13" s="26" t="n"/>
      <c r="C13" s="35" t="n"/>
      <c r="D13" s="34" t="n"/>
      <c r="E13" s="34" t="n"/>
      <c r="F13" s="34" t="n"/>
      <c r="G13" s="34" t="n"/>
      <c r="H13" s="26" t="n"/>
      <c r="I13" s="33" t="inlineStr">
        <is>
          <t>Possible prices:</t>
        </is>
      </c>
      <c r="J13" s="26" t="n"/>
      <c r="K13" s="26" t="n"/>
      <c r="L13" s="26" t="n"/>
      <c r="M13" s="26" t="n"/>
      <c r="N13" s="26" t="n"/>
      <c r="O13" s="26" t="n"/>
      <c r="P13" s="17" t="n"/>
    </row>
    <row r="14" ht="17" customHeight="1">
      <c r="A14" s="357" t="n"/>
      <c r="B14" s="26" t="n"/>
      <c r="C14" s="141" t="inlineStr">
        <is>
          <t>Price</t>
        </is>
      </c>
      <c r="D14" s="412" t="n">
        <v>670</v>
      </c>
      <c r="E14" s="392" t="n">
        <v>220</v>
      </c>
      <c r="F14" s="392" t="n">
        <v>60</v>
      </c>
      <c r="G14" s="393" t="n">
        <v>740</v>
      </c>
      <c r="H14" s="26" t="n"/>
      <c r="I14" s="329" t="inlineStr">
        <is>
          <t>Food</t>
        </is>
      </c>
      <c r="J14" s="329" t="inlineStr">
        <is>
          <t>Drinks</t>
        </is>
      </c>
      <c r="K14" s="329" t="inlineStr">
        <is>
          <t>Disposable cutlery</t>
        </is>
      </c>
      <c r="L14" s="329" t="inlineStr">
        <is>
          <t>Bundle</t>
        </is>
      </c>
      <c r="M14" s="26" t="n"/>
      <c r="N14" s="26" t="n"/>
      <c r="O14" s="26" t="n"/>
      <c r="P14" s="17" t="n"/>
    </row>
    <row r="15" ht="17" customHeight="1">
      <c r="A15" s="357" t="n"/>
      <c r="B15" s="26" t="n"/>
      <c r="C15" s="140" t="inlineStr">
        <is>
          <t>Profit</t>
        </is>
      </c>
      <c r="D15" s="143">
        <f>D14-D12</f>
        <v/>
      </c>
      <c r="E15" s="143">
        <f>E14-E12</f>
        <v/>
      </c>
      <c r="F15" s="143">
        <f>F14-F12</f>
        <v/>
      </c>
      <c r="G15" s="146">
        <f>G14-G12</f>
        <v/>
      </c>
      <c r="H15" s="26" t="n"/>
      <c r="I15" s="412" t="n">
        <v>670</v>
      </c>
      <c r="J15" s="392" t="n">
        <v>220</v>
      </c>
      <c r="K15" s="392" t="n">
        <v>60</v>
      </c>
      <c r="L15" s="393" t="n">
        <v>740</v>
      </c>
      <c r="M15" s="26" t="n"/>
      <c r="N15" s="26" t="n"/>
      <c r="O15" s="26" t="n"/>
      <c r="P15" s="17" t="n"/>
    </row>
    <row r="16" ht="16" customHeight="1">
      <c r="A16" s="357" t="n"/>
      <c r="B16" s="26" t="n"/>
      <c r="C16" s="34" t="n"/>
      <c r="D16" s="34" t="n"/>
      <c r="E16" s="34" t="n"/>
      <c r="F16" s="34" t="n"/>
      <c r="G16" s="26" t="n"/>
      <c r="H16" s="26" t="n"/>
      <c r="I16" s="412" t="n">
        <v>670</v>
      </c>
      <c r="J16" s="392" t="n">
        <v>200</v>
      </c>
      <c r="K16" s="392" t="n">
        <v>60</v>
      </c>
      <c r="L16" s="393" t="n">
        <v>740</v>
      </c>
      <c r="M16" s="26" t="n"/>
      <c r="N16" s="26" t="n"/>
      <c r="O16" s="26" t="n"/>
      <c r="P16" s="17" t="n"/>
    </row>
    <row r="17" ht="16" customHeight="1">
      <c r="A17" s="357" t="n"/>
      <c r="B17" s="26" t="n"/>
      <c r="C17" s="147" t="inlineStr">
        <is>
          <t>Total profit</t>
        </is>
      </c>
      <c r="D17" s="148" t="n"/>
      <c r="E17" s="148" t="n"/>
      <c r="F17" s="148" t="n"/>
      <c r="G17" s="429" t="n"/>
      <c r="H17" s="26" t="n"/>
      <c r="I17" s="412" t="n">
        <v>670</v>
      </c>
      <c r="J17" s="392" t="n">
        <v>200</v>
      </c>
      <c r="K17" s="392" t="n">
        <v>40</v>
      </c>
      <c r="L17" s="393" t="n">
        <v>740</v>
      </c>
      <c r="M17" s="26" t="n"/>
      <c r="N17" s="26" t="n"/>
      <c r="O17" s="26" t="n"/>
      <c r="P17" s="17" t="n"/>
    </row>
    <row r="18" ht="16" customHeight="1">
      <c r="A18" s="357" t="n"/>
      <c r="B18" s="26" t="n"/>
      <c r="C18" s="26" t="n"/>
      <c r="D18" s="26" t="n"/>
      <c r="E18" s="26" t="n"/>
      <c r="F18" s="26" t="n"/>
      <c r="G18" s="26" t="n"/>
      <c r="H18" s="26" t="n"/>
      <c r="I18" s="412" t="n">
        <v>700</v>
      </c>
      <c r="J18" s="392" t="n">
        <v>200</v>
      </c>
      <c r="K18" s="392" t="n">
        <v>40</v>
      </c>
      <c r="L18" s="393" t="n">
        <v>880</v>
      </c>
      <c r="M18" s="26" t="n"/>
      <c r="N18" s="26" t="n"/>
      <c r="O18" s="26" t="n"/>
      <c r="P18" s="17" t="n"/>
    </row>
    <row r="19" ht="16" customHeight="1">
      <c r="A19" s="357" t="n"/>
      <c r="B19" s="26" t="n"/>
      <c r="C19" s="26" t="n"/>
      <c r="D19" s="26" t="n"/>
      <c r="E19" s="26" t="n"/>
      <c r="F19" s="26" t="n"/>
      <c r="G19" s="26" t="n"/>
      <c r="H19" s="26" t="n"/>
      <c r="I19" s="413" t="n">
        <v>700</v>
      </c>
      <c r="J19" s="414" t="n">
        <v>220</v>
      </c>
      <c r="K19" s="414" t="n">
        <v>60</v>
      </c>
      <c r="L19" s="415" t="n">
        <v>880</v>
      </c>
      <c r="M19" s="26" t="n"/>
      <c r="N19" s="26" t="n"/>
      <c r="O19" s="26" t="n"/>
      <c r="P19" s="17" t="n"/>
    </row>
    <row r="20" ht="16" customHeight="1">
      <c r="A20" s="357" t="n"/>
      <c r="B20" s="26" t="n"/>
      <c r="C20" s="17" t="n"/>
      <c r="D20" s="26" t="n"/>
      <c r="E20" s="26" t="n"/>
      <c r="F20" s="26" t="n"/>
      <c r="G20" s="26" t="n"/>
      <c r="H20" s="26" t="n"/>
      <c r="I20" s="33" t="n"/>
      <c r="J20" s="26" t="n"/>
      <c r="K20" s="26" t="n"/>
      <c r="L20" s="26" t="n"/>
      <c r="M20" s="26" t="n"/>
      <c r="N20" s="26" t="n"/>
      <c r="O20" s="26" t="n"/>
      <c r="P20" s="17" t="n"/>
    </row>
    <row r="21" ht="16" customHeight="1">
      <c r="A21" s="357" t="n"/>
      <c r="B21" s="394" t="n"/>
      <c r="D21" s="394" t="n"/>
      <c r="E21" s="394" t="n"/>
      <c r="F21" s="394" t="n"/>
      <c r="G21" s="394" t="n"/>
      <c r="H21" s="394" t="n"/>
      <c r="I21" s="395" t="n"/>
      <c r="J21" s="524" t="n"/>
      <c r="K21" s="394" t="n"/>
      <c r="L21" s="394" t="n"/>
      <c r="M21" s="394" t="n"/>
      <c r="N21" s="394" t="n"/>
      <c r="O21" s="394" t="n"/>
    </row>
    <row r="22" ht="16" customHeight="1">
      <c r="A22" s="357" t="n"/>
      <c r="B22" s="394" t="n"/>
      <c r="D22" s="394" t="n"/>
      <c r="E22" s="394" t="n"/>
      <c r="F22" s="394" t="n"/>
      <c r="G22" s="394" t="n"/>
      <c r="H22" s="394" t="n"/>
      <c r="I22" s="394" t="n"/>
      <c r="J22" s="394" t="n"/>
      <c r="K22" s="394" t="n"/>
      <c r="L22" s="394" t="n"/>
      <c r="M22" s="394" t="n"/>
      <c r="N22" s="394" t="n"/>
      <c r="O22" s="394" t="n"/>
    </row>
    <row r="23" ht="16" customHeight="1">
      <c r="A23" s="357" t="n"/>
      <c r="B23" s="394" t="n"/>
      <c r="D23" s="394" t="n"/>
      <c r="E23" s="394" t="n"/>
      <c r="F23" s="394" t="n"/>
      <c r="G23" s="394" t="n"/>
      <c r="H23" s="394" t="n"/>
      <c r="I23" s="394" t="n"/>
      <c r="J23" s="394" t="n"/>
      <c r="K23" s="394" t="n"/>
      <c r="L23" s="394" t="n"/>
      <c r="M23" s="394" t="n"/>
      <c r="N23" s="394" t="n"/>
      <c r="O23" s="394" t="n"/>
    </row>
    <row r="24" ht="16" customHeight="1">
      <c r="A24" s="357" t="n"/>
      <c r="D24" s="394" t="n"/>
      <c r="E24" s="394" t="n"/>
      <c r="F24" s="394" t="n"/>
      <c r="G24" s="394" t="n"/>
      <c r="H24" s="394" t="n"/>
      <c r="I24" s="394" t="n"/>
      <c r="J24" s="394" t="n"/>
      <c r="K24" s="394" t="n"/>
      <c r="L24" s="394" t="n"/>
      <c r="M24" s="394" t="n"/>
      <c r="N24" s="394" t="n"/>
      <c r="O24" s="394" t="n"/>
    </row>
    <row r="25" ht="16" customHeight="1">
      <c r="A25" s="357" t="n"/>
      <c r="B25" s="394" t="n"/>
      <c r="C25" s="394" t="n"/>
      <c r="D25" s="394" t="n"/>
      <c r="E25" s="394" t="n"/>
      <c r="F25" s="394" t="n"/>
      <c r="G25" s="525" t="n"/>
      <c r="H25" s="525" t="n"/>
      <c r="I25" s="395" t="n"/>
      <c r="J25" s="394" t="n"/>
      <c r="K25" s="394" t="n"/>
      <c r="L25" s="394" t="n"/>
      <c r="M25" s="394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9">
    <outlinePr summaryBelow="1" summaryRight="1"/>
    <pageSetUpPr/>
  </sheetPr>
  <dimension ref="A1:P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baseColWidth="10" defaultColWidth="8.83203125" defaultRowHeight="15"/>
  <cols>
    <col width="3.1640625" customWidth="1" style="348" min="1" max="1"/>
    <col width="3.6640625" customWidth="1" min="2" max="2"/>
    <col width="17.33203125" customWidth="1" min="3" max="3"/>
    <col width="4.6640625" customWidth="1" min="4" max="4"/>
    <col width="13" customWidth="1" min="5" max="5"/>
    <col width="12.83203125" customWidth="1" min="6" max="6"/>
    <col width="11.6640625" customWidth="1" min="7" max="7"/>
    <col width="4.6640625" customWidth="1" min="8" max="8"/>
    <col width="14" customWidth="1" min="9" max="9"/>
    <col width="10.33203125" customWidth="1" min="11" max="11"/>
    <col width="4" customWidth="1" min="12" max="12"/>
    <col width="12.33203125" customWidth="1" min="13" max="13"/>
    <col width="11.83203125" customWidth="1" min="14" max="14"/>
    <col width="11.6640625" customWidth="1" min="15" max="15"/>
  </cols>
  <sheetData>
    <row r="1" ht="16" customFormat="1" customHeight="1" s="348">
      <c r="A1" s="357" t="n"/>
      <c r="B1" s="358" t="n"/>
      <c r="C1" s="359" t="n"/>
      <c r="D1" s="360" t="n"/>
      <c r="E1" s="360" t="n"/>
      <c r="F1" s="360" t="n"/>
      <c r="G1" s="360" t="n"/>
      <c r="H1" s="360" t="n"/>
      <c r="I1" s="358" t="n"/>
      <c r="J1" s="358" t="n"/>
      <c r="K1" s="358" t="n"/>
      <c r="L1" s="358" t="n"/>
      <c r="M1" s="358" t="n"/>
    </row>
    <row r="2" ht="16" customHeight="1">
      <c r="A2" s="357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</row>
    <row r="3">
      <c r="A3" s="35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</row>
    <row r="4" ht="16" customHeight="1">
      <c r="A4" s="357" t="n"/>
      <c r="B4" s="17" t="n"/>
      <c r="C4" s="179" t="inlineStr">
        <is>
          <t>Monthly</t>
        </is>
      </c>
      <c r="D4" s="155" t="n"/>
      <c r="E4" s="180" t="n"/>
      <c r="F4" s="181" t="inlineStr">
        <is>
          <t>Willingness to pay (WTP) in CHF</t>
        </is>
      </c>
      <c r="G4" s="182" t="n"/>
      <c r="H4" s="17" t="n"/>
      <c r="I4" s="180" t="n"/>
      <c r="J4" s="181" t="inlineStr">
        <is>
          <t>Price</t>
        </is>
      </c>
      <c r="K4" s="182" t="n"/>
      <c r="L4" s="17" t="n"/>
      <c r="M4" s="180" t="n"/>
      <c r="N4" s="181" t="inlineStr">
        <is>
          <t>Consumer surplus (CS)</t>
        </is>
      </c>
      <c r="O4" s="182" t="n"/>
      <c r="P4" s="17" t="n"/>
    </row>
    <row r="5" ht="16" customHeight="1">
      <c r="A5" s="357" t="n"/>
      <c r="B5" s="17" t="n"/>
      <c r="C5" s="183" t="inlineStr">
        <is>
          <t>visits</t>
        </is>
      </c>
      <c r="D5" s="177" t="n"/>
      <c r="E5" s="184" t="inlineStr">
        <is>
          <t>Segment 1</t>
        </is>
      </c>
      <c r="F5" s="177" t="inlineStr">
        <is>
          <t>Segment 2</t>
        </is>
      </c>
      <c r="G5" s="185" t="inlineStr">
        <is>
          <t>Segment 3</t>
        </is>
      </c>
      <c r="H5" s="439" t="n"/>
      <c r="I5" s="184" t="n"/>
      <c r="J5" s="177" t="inlineStr">
        <is>
          <t>in CHF</t>
        </is>
      </c>
      <c r="K5" s="185" t="inlineStr">
        <is>
          <t>Total</t>
        </is>
      </c>
      <c r="L5" s="17" t="n"/>
      <c r="M5" s="186" t="inlineStr">
        <is>
          <t>Segment 1</t>
        </is>
      </c>
      <c r="N5" s="187" t="inlineStr">
        <is>
          <t>Segment 2</t>
        </is>
      </c>
      <c r="O5" s="188" t="inlineStr">
        <is>
          <t>Segment 3</t>
        </is>
      </c>
      <c r="P5" s="17" t="n"/>
    </row>
    <row r="6" ht="16" customHeight="1">
      <c r="A6" s="357" t="n"/>
      <c r="B6" s="17" t="n"/>
      <c r="C6" s="165" t="n">
        <v>1</v>
      </c>
      <c r="D6" s="166" t="n"/>
      <c r="E6" s="167" t="n">
        <v>35</v>
      </c>
      <c r="F6" s="166" t="n">
        <v>20</v>
      </c>
      <c r="G6" s="168" t="n">
        <v>15</v>
      </c>
      <c r="H6" s="439" t="n"/>
      <c r="I6" s="169" t="inlineStr">
        <is>
          <t>Fix price</t>
        </is>
      </c>
      <c r="J6" s="526" t="n"/>
      <c r="K6" s="195" t="n"/>
      <c r="L6" s="17" t="n"/>
      <c r="M6" s="417" t="n"/>
      <c r="N6" s="417" t="n"/>
      <c r="O6" s="417" t="n"/>
      <c r="P6" s="17" t="n"/>
    </row>
    <row r="7" ht="16" customHeight="1">
      <c r="A7" s="357" t="n"/>
      <c r="B7" s="17" t="n"/>
      <c r="C7" s="165" t="n">
        <v>2</v>
      </c>
      <c r="D7" s="166" t="n"/>
      <c r="E7" s="167" t="n">
        <v>55</v>
      </c>
      <c r="F7" s="166" t="n">
        <v>39</v>
      </c>
      <c r="G7" s="168" t="n">
        <v>30</v>
      </c>
      <c r="H7" s="439" t="n"/>
      <c r="I7" s="169" t="inlineStr">
        <is>
          <t>Variable price</t>
        </is>
      </c>
      <c r="J7" s="526" t="n"/>
      <c r="K7" s="195" t="n"/>
      <c r="L7" s="17" t="n"/>
      <c r="M7" s="196" t="n"/>
      <c r="N7" s="197" t="n"/>
      <c r="O7" s="198" t="n"/>
      <c r="P7" s="17" t="n"/>
    </row>
    <row r="8" ht="16" customHeight="1">
      <c r="A8" s="357" t="n"/>
      <c r="B8" s="17" t="n"/>
      <c r="C8" s="165" t="n">
        <v>3</v>
      </c>
      <c r="D8" s="166" t="n"/>
      <c r="E8" s="167" t="n">
        <v>73</v>
      </c>
      <c r="F8" s="166" t="n">
        <v>47</v>
      </c>
      <c r="G8" s="168" t="n">
        <v>45</v>
      </c>
      <c r="H8" s="439" t="n"/>
      <c r="I8" s="169" t="n"/>
      <c r="J8" s="170" t="n"/>
      <c r="K8" s="195" t="n"/>
      <c r="L8" s="17" t="n"/>
      <c r="M8" s="196" t="n"/>
      <c r="N8" s="197" t="n"/>
      <c r="O8" s="198" t="n"/>
      <c r="P8" s="17" t="n"/>
    </row>
    <row r="9" ht="16" customHeight="1">
      <c r="A9" s="357" t="n"/>
      <c r="B9" s="17" t="n"/>
      <c r="C9" s="165" t="n">
        <v>4</v>
      </c>
      <c r="D9" s="166" t="n"/>
      <c r="E9" s="167" t="n">
        <v>89</v>
      </c>
      <c r="F9" s="166" t="n">
        <v>64</v>
      </c>
      <c r="G9" s="168" t="n">
        <v>60</v>
      </c>
      <c r="H9" s="439" t="n"/>
      <c r="I9" s="169" t="n"/>
      <c r="J9" s="170" t="n"/>
      <c r="K9" s="195" t="n"/>
      <c r="L9" s="17" t="n"/>
      <c r="M9" s="196" t="n"/>
      <c r="N9" s="197" t="n"/>
      <c r="O9" s="198" t="n"/>
      <c r="P9" s="17" t="n"/>
    </row>
    <row r="10" ht="16" customHeight="1">
      <c r="A10" s="357" t="n"/>
      <c r="B10" s="17" t="n"/>
      <c r="C10" s="165" t="n">
        <v>5</v>
      </c>
      <c r="D10" s="166" t="n"/>
      <c r="E10" s="167" t="n">
        <v>99</v>
      </c>
      <c r="F10" s="166" t="n">
        <v>64</v>
      </c>
      <c r="G10" s="168" t="n">
        <v>75</v>
      </c>
      <c r="H10" s="439" t="n"/>
      <c r="I10" s="169" t="n"/>
      <c r="J10" s="170" t="n"/>
      <c r="K10" s="195" t="n"/>
      <c r="L10" s="17" t="n"/>
      <c r="M10" s="196" t="n"/>
      <c r="N10" s="197" t="n"/>
      <c r="O10" s="198" t="n"/>
      <c r="P10" s="17" t="n"/>
    </row>
    <row r="11" ht="16" customHeight="1">
      <c r="A11" s="357" t="n"/>
      <c r="B11" s="17" t="n"/>
      <c r="C11" s="171" t="n">
        <v>6</v>
      </c>
      <c r="D11" s="166" t="n"/>
      <c r="E11" s="172" t="n">
        <v>109</v>
      </c>
      <c r="F11" s="173" t="n">
        <v>64</v>
      </c>
      <c r="G11" s="174" t="n">
        <v>90</v>
      </c>
      <c r="H11" s="439" t="n"/>
      <c r="I11" s="175" t="n"/>
      <c r="J11" s="176" t="n"/>
      <c r="K11" s="195" t="n"/>
      <c r="L11" s="17" t="n"/>
      <c r="M11" s="199" t="n"/>
      <c r="N11" s="200" t="n"/>
      <c r="O11" s="201" t="n"/>
      <c r="P11" s="17" t="n"/>
    </row>
    <row r="12" ht="16" customHeight="1">
      <c r="A12" s="357" t="n"/>
      <c r="B12" s="17" t="n"/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26" t="n"/>
      <c r="L12" s="17" t="n"/>
      <c r="M12" s="157" t="n"/>
      <c r="N12" s="157" t="n"/>
      <c r="O12" s="157" t="n"/>
      <c r="P12" s="17" t="n"/>
    </row>
    <row r="13" ht="16" customHeight="1">
      <c r="A13" s="357" t="n"/>
      <c r="B13" s="17" t="n"/>
      <c r="C13" s="155" t="n"/>
      <c r="D13" s="155" t="n"/>
      <c r="E13" s="155" t="n"/>
      <c r="F13" s="155" t="n"/>
      <c r="G13" s="17" t="n"/>
      <c r="H13" s="17" t="n"/>
      <c r="I13" s="17" t="n"/>
      <c r="J13" s="17" t="n"/>
      <c r="K13" s="189" t="inlineStr">
        <is>
          <t>Max CS</t>
        </is>
      </c>
      <c r="L13" s="158" t="n"/>
      <c r="M13" s="203" t="n"/>
      <c r="N13" s="203" t="n"/>
      <c r="O13" s="203" t="n"/>
      <c r="P13" s="17" t="n"/>
    </row>
    <row r="14" ht="16" customHeight="1">
      <c r="A14" s="357" t="n"/>
      <c r="B14" s="17" t="n"/>
      <c r="C14" s="17" t="n"/>
      <c r="D14" s="17" t="n"/>
      <c r="E14" s="155" t="n"/>
      <c r="F14" s="170" t="n"/>
      <c r="G14" s="481" t="n"/>
      <c r="H14" s="17" t="n"/>
      <c r="I14" s="17" t="n"/>
      <c r="J14" s="17" t="n"/>
      <c r="K14" s="190" t="inlineStr">
        <is>
          <t>Visits</t>
        </is>
      </c>
      <c r="L14" s="17" t="n"/>
      <c r="M14" s="204" t="n"/>
      <c r="N14" s="204" t="n"/>
      <c r="O14" s="204" t="n"/>
      <c r="P14" s="17" t="n"/>
    </row>
    <row r="15" ht="16" customHeight="1">
      <c r="A15" s="357" t="n"/>
      <c r="B15" s="17" t="n"/>
      <c r="C15" s="17" t="n"/>
      <c r="D15" s="17" t="n"/>
      <c r="E15" s="155" t="n"/>
      <c r="F15" s="170" t="n"/>
      <c r="G15" s="481" t="n"/>
      <c r="H15" s="17" t="n"/>
      <c r="I15" s="17" t="n"/>
      <c r="J15" s="17" t="n"/>
      <c r="K15" s="191" t="inlineStr">
        <is>
          <t>Revenue</t>
        </is>
      </c>
      <c r="L15" s="159" t="n"/>
      <c r="M15" s="202" t="n"/>
      <c r="N15" s="202" t="n"/>
      <c r="O15" s="202" t="n"/>
      <c r="P15" s="17" t="n"/>
    </row>
    <row r="16" ht="16" customHeight="1">
      <c r="A16" s="357" t="n"/>
      <c r="B16" s="155" t="n"/>
      <c r="C16" s="155" t="n"/>
      <c r="D16" s="155" t="n"/>
      <c r="E16" s="155" t="n"/>
      <c r="F16" s="155" t="n"/>
      <c r="G16" s="155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 ht="16" customHeight="1">
      <c r="A17" s="357" t="n"/>
      <c r="B17" s="17" t="n"/>
      <c r="C17" s="17" t="n"/>
      <c r="D17" s="17" t="n"/>
      <c r="E17" s="155" t="n"/>
      <c r="F17" s="170" t="n"/>
      <c r="G17" s="481" t="n"/>
      <c r="H17" s="17" t="n"/>
      <c r="I17" s="17" t="n"/>
      <c r="J17" s="17" t="n"/>
      <c r="K17" s="189" t="inlineStr">
        <is>
          <t>Unit costs</t>
        </is>
      </c>
      <c r="L17" s="158" t="n"/>
      <c r="M17" s="158" t="n">
        <v>12</v>
      </c>
      <c r="N17" s="160" t="n"/>
      <c r="O17" s="161" t="n"/>
      <c r="P17" s="17" t="n"/>
    </row>
    <row r="18" ht="16" customHeight="1">
      <c r="A18" s="357" t="n"/>
      <c r="B18" s="17" t="n"/>
      <c r="C18" s="17" t="n"/>
      <c r="D18" s="17" t="n"/>
      <c r="E18" s="155" t="n"/>
      <c r="F18" s="170" t="n"/>
      <c r="G18" s="481" t="n"/>
      <c r="H18" s="26" t="n"/>
      <c r="I18" s="26" t="n"/>
      <c r="J18" s="26" t="n"/>
      <c r="K18" s="190" t="inlineStr">
        <is>
          <t>Total costs</t>
        </is>
      </c>
      <c r="L18" s="17" t="n"/>
      <c r="M18" s="197" t="n"/>
      <c r="N18" s="162" t="n"/>
      <c r="O18" s="163" t="n"/>
      <c r="P18" s="17" t="n"/>
    </row>
    <row r="19" ht="16" customHeight="1">
      <c r="A19" s="357" t="n"/>
      <c r="B19" s="17" t="n"/>
      <c r="C19" s="17" t="n"/>
      <c r="D19" s="17" t="n"/>
      <c r="E19" s="155" t="n"/>
      <c r="F19" s="155" t="n"/>
      <c r="G19" s="155" t="n"/>
      <c r="H19" s="26" t="n"/>
      <c r="I19" s="26" t="n"/>
      <c r="J19" s="26" t="n"/>
      <c r="K19" s="191" t="inlineStr">
        <is>
          <t>Profit</t>
        </is>
      </c>
      <c r="L19" s="159" t="n"/>
      <c r="M19" s="430" t="n"/>
      <c r="N19" s="159" t="n"/>
      <c r="O19" s="164" t="n"/>
      <c r="P19" s="17" t="n"/>
    </row>
    <row r="20" ht="16" customHeight="1">
      <c r="A20" s="357" t="n"/>
      <c r="B20" s="17" t="n"/>
      <c r="C20" s="17" t="n"/>
      <c r="D20" s="17" t="n"/>
      <c r="E20" s="155" t="n"/>
      <c r="F20" s="170" t="n"/>
      <c r="G20" s="481" t="n"/>
      <c r="H20" s="193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 ht="16" customHeight="1">
      <c r="A21" s="357" t="n"/>
      <c r="B21" s="394" t="n"/>
      <c r="C21" s="398" t="n"/>
      <c r="D21" s="399" t="n"/>
      <c r="E21" s="399" t="n"/>
      <c r="F21" s="400" t="n"/>
      <c r="G21" s="527" t="n"/>
      <c r="H21" s="394" t="n"/>
      <c r="I21" s="528" t="n"/>
      <c r="J21" s="403" t="n"/>
      <c r="K21" s="528" t="n"/>
      <c r="L21" s="528" t="n"/>
      <c r="M21" s="404" t="n"/>
    </row>
    <row r="22" ht="16" customHeight="1">
      <c r="A22" s="357" t="n"/>
      <c r="B22" s="394" t="n"/>
      <c r="C22" s="398" t="n"/>
      <c r="D22" s="399" t="n"/>
      <c r="E22" s="399" t="n"/>
      <c r="F22" s="399" t="n"/>
      <c r="G22" s="394" t="n"/>
      <c r="H22" s="394" t="n"/>
      <c r="I22" s="528" t="n"/>
      <c r="J22" s="403" t="n"/>
      <c r="K22" s="528" t="n"/>
      <c r="L22" s="528" t="n"/>
      <c r="M22" s="404" t="n"/>
    </row>
    <row r="23" ht="16" customHeight="1">
      <c r="A23" s="357" t="n"/>
      <c r="B23" s="394" t="n"/>
      <c r="C23" s="398" t="n"/>
      <c r="D23" s="399" t="n"/>
      <c r="E23" s="399" t="n"/>
      <c r="F23" s="399" t="n"/>
      <c r="G23" s="394" t="n"/>
      <c r="H23" s="394" t="n"/>
      <c r="I23" s="528" t="n"/>
      <c r="J23" s="528" t="n"/>
      <c r="K23" s="528" t="n"/>
      <c r="L23" s="528" t="n"/>
      <c r="M23" s="54" t="n"/>
    </row>
    <row r="24">
      <c r="A24" s="357" t="n"/>
    </row>
  </sheetData>
  <conditionalFormatting sqref="H12:J12 M6:O10 M13:O15 M18:M19 N17:O18">
    <cfRule type="cellIs" priority="3" operator="lessThan" dxfId="0">
      <formula>0</formula>
    </cfRule>
  </conditionalFormatting>
  <conditionalFormatting sqref="O11">
    <cfRule type="cellIs" priority="1" operator="less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2026-06-24T21:41:49Z</dcterms:created>
  <dcterms:modified xmlns:dcterms="http://purl.org/dc/terms/" xmlns:xsi="http://www.w3.org/2001/XMLSchema-instance" xsi:type="dcterms:W3CDTF">2026-06-24T21:41:50Z</dcterms:modified>
  <cp:lastModifiedBy>Raphel Kaufmann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0x010100F063C7F7A16F2A4FBA5AFA08D0C42086</vt:lpwstr>
  </property>
</Properties>
</file>
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drawings/drawing4.xml" ContentType="application/vnd.openxmlformats-officedocument.drawing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ink/ink121.xml" ContentType="application/inkml+xml"/>
  <Override PartName="/xl/ink/ink122.xml" ContentType="application/inkml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Raph/Downloads/"/>
    </mc:Choice>
  </mc:AlternateContent>
  <xr:revisionPtr revIDLastSave="0" documentId="13_ncr:8001_{FDEE3B47-A08F-F943-81AF-C423B25FE033}" xr6:coauthVersionLast="47" xr6:coauthVersionMax="47" xr10:uidLastSave="{00000000-0000-0000-0000-000000000000}"/>
  <bookViews>
    <workbookView xWindow="0" yWindow="660" windowWidth="30240" windowHeight="17820" activeTab="12" xr2:uid="{94E52C67-82FD-4B5E-A75A-DE729626F0CE}"/>
  </bookViews>
  <sheets>
    <sheet name="4" sheetId="40" r:id="rId1"/>
    <sheet name="5" sheetId="42" r:id="rId2"/>
    <sheet name="6" sheetId="120" r:id="rId3"/>
    <sheet name="10" sheetId="140" r:id="rId4"/>
    <sheet name="11" sheetId="142" r:id="rId5"/>
    <sheet name="12" sheetId="144" r:id="rId6"/>
    <sheet name="16" sheetId="125" r:id="rId7"/>
    <sheet name="17" sheetId="129" r:id="rId8"/>
    <sheet name="18" sheetId="138" r:id="rId9"/>
    <sheet name="22" sheetId="146" r:id="rId10"/>
    <sheet name="23" sheetId="148" r:id="rId11"/>
    <sheet name="24" sheetId="150" r:id="rId12"/>
    <sheet name="28" sheetId="103" r:id="rId13"/>
    <sheet name="29" sheetId="139" r:id="rId14"/>
    <sheet name="30" sheetId="121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CR" localSheetId="3">'[1]4.2.b - WPP'!$E$9</definedName>
    <definedName name="CR" localSheetId="4">'[1]4.2.b - WPP'!$E$9</definedName>
    <definedName name="CR">'[2]4.2.b - WPP'!$E$9</definedName>
    <definedName name="ed">[3]HD!#REF!</definedName>
    <definedName name="f_01" localSheetId="3">'[1]4.2.b - WPP'!$E$11</definedName>
    <definedName name="f_01" localSheetId="4">'[1]4.2.b - WPP'!$E$11</definedName>
    <definedName name="f_01">'[2]4.2.b - WPP'!$E$11</definedName>
    <definedName name="G22_" localSheetId="3">[4]HD!#REF!</definedName>
    <definedName name="G22_" localSheetId="4">[4]HD!#REF!</definedName>
    <definedName name="G22_" localSheetId="11">[5]HD!#REF!</definedName>
    <definedName name="G22_">[4]HD!#REF!</definedName>
    <definedName name="h" localSheetId="3">'[1]4.2.b - WPP'!$E$7</definedName>
    <definedName name="h" localSheetId="4">'[1]4.2.b - WPP'!$E$7</definedName>
    <definedName name="h">'[2]4.2.b - WPP'!$E$7</definedName>
    <definedName name="inv_cost">'[6]4.4.b - Sol'!#REF!</definedName>
    <definedName name="LT" localSheetId="3">'[1]4.2.b - WPP'!$E$4</definedName>
    <definedName name="LT" localSheetId="4">'[1]4.2.b - WPP'!$E$4</definedName>
    <definedName name="LT">'[2]4.2.b - WPP'!$E$4</definedName>
    <definedName name="means" localSheetId="3">#REF!</definedName>
    <definedName name="means" localSheetId="4">#REF!</definedName>
    <definedName name="means" localSheetId="11">#REF!</definedName>
    <definedName name="means">#REF!</definedName>
    <definedName name="order_cost">'[6]4.4.b - Sol'!#REF!</definedName>
    <definedName name="p" localSheetId="3">'[1]4.2.b - WPP'!$E$8</definedName>
    <definedName name="p" localSheetId="4">'[1]4.2.b - WPP'!$E$8</definedName>
    <definedName name="p">'[2]4.2.b - WPP'!$E$8</definedName>
    <definedName name="s">#REF!</definedName>
    <definedName name="samples" localSheetId="3">#REF!</definedName>
    <definedName name="samples" localSheetId="4">#REF!</definedName>
    <definedName name="samples" localSheetId="11">#REF!</definedName>
    <definedName name="samples">#REF!</definedName>
    <definedName name="solver_adj" localSheetId="8" hidden="1">'18'!$D$15:$G$18</definedName>
    <definedName name="solver_cvg" localSheetId="8" hidden="1">0.0001</definedName>
    <definedName name="solver_drv" localSheetId="8" hidden="1">1</definedName>
    <definedName name="solver_eng" localSheetId="6" hidden="1">1</definedName>
    <definedName name="solver_eng" localSheetId="8" hidden="1">2</definedName>
    <definedName name="solver_est" localSheetId="8" hidden="1">1</definedName>
    <definedName name="solver_itr" localSheetId="8" hidden="1">2147483647</definedName>
    <definedName name="solver_lhs1" localSheetId="8" hidden="1">'18'!$D$16</definedName>
    <definedName name="solver_lhs10" localSheetId="8" hidden="1">'18'!$M$15:$M$22</definedName>
    <definedName name="solver_lhs2" localSheetId="8" hidden="1">'18'!$D$17</definedName>
    <definedName name="solver_lhs3" localSheetId="8" hidden="1">'18'!$E$16</definedName>
    <definedName name="solver_lhs4" localSheetId="8" hidden="1">'18'!$E$17</definedName>
    <definedName name="solver_lhs5" localSheetId="8" hidden="1">'18'!$E$18</definedName>
    <definedName name="solver_lhs6" localSheetId="8" hidden="1">'18'!$F$15</definedName>
    <definedName name="solver_lhs7" localSheetId="8" hidden="1">'18'!$F$18</definedName>
    <definedName name="solver_lhs8" localSheetId="8" hidden="1">'18'!$G$16</definedName>
    <definedName name="solver_lhs9" localSheetId="8" hidden="1">'18'!$G$18</definedName>
    <definedName name="solver_mip" localSheetId="8" hidden="1">2147483647</definedName>
    <definedName name="solver_mni" localSheetId="8" hidden="1">30</definedName>
    <definedName name="solver_mrt" localSheetId="8" hidden="1">0.075</definedName>
    <definedName name="solver_msl" localSheetId="8" hidden="1">2</definedName>
    <definedName name="solver_neg" localSheetId="6" hidden="1">1</definedName>
    <definedName name="solver_neg" localSheetId="8" hidden="1">1</definedName>
    <definedName name="solver_nod" localSheetId="8" hidden="1">2147483647</definedName>
    <definedName name="solver_num" localSheetId="6" hidden="1">0</definedName>
    <definedName name="solver_num" localSheetId="8" hidden="1">10</definedName>
    <definedName name="solver_nwt" localSheetId="8" hidden="1">1</definedName>
    <definedName name="solver_opt" localSheetId="6" hidden="1">'16'!$F$47</definedName>
    <definedName name="solver_opt" localSheetId="8" hidden="1">'18'!$D$27</definedName>
    <definedName name="solver_pre" localSheetId="8" hidden="1">0.000001</definedName>
    <definedName name="solver_rbv" localSheetId="8" hidden="1">1</definedName>
    <definedName name="solver_rel1" localSheetId="8" hidden="1">2</definedName>
    <definedName name="solver_rel10" localSheetId="8" hidden="1">2</definedName>
    <definedName name="solver_rel2" localSheetId="8" hidden="1">2</definedName>
    <definedName name="solver_rel3" localSheetId="8" hidden="1">2</definedName>
    <definedName name="solver_rel4" localSheetId="8" hidden="1">2</definedName>
    <definedName name="solver_rel5" localSheetId="8" hidden="1">2</definedName>
    <definedName name="solver_rel6" localSheetId="8" hidden="1">2</definedName>
    <definedName name="solver_rel7" localSheetId="8" hidden="1">2</definedName>
    <definedName name="solver_rel8" localSheetId="8" hidden="1">2</definedName>
    <definedName name="solver_rel9" localSheetId="8" hidden="1">2</definedName>
    <definedName name="solver_rhs1" localSheetId="8" hidden="1">0</definedName>
    <definedName name="solver_rhs10" localSheetId="8" hidden="1">'18'!$O$15:$O$22</definedName>
    <definedName name="solver_rhs2" localSheetId="8" hidden="1">100</definedName>
    <definedName name="solver_rhs3" localSheetId="8" hidden="1">0</definedName>
    <definedName name="solver_rhs4" localSheetId="8" hidden="1">0</definedName>
    <definedName name="solver_rhs5" localSheetId="8" hidden="1">0</definedName>
    <definedName name="solver_rhs6" localSheetId="8" hidden="1">0</definedName>
    <definedName name="solver_rhs7" localSheetId="8" hidden="1">0</definedName>
    <definedName name="solver_rhs8" localSheetId="8" hidden="1">0</definedName>
    <definedName name="solver_rhs9" localSheetId="8" hidden="1">0</definedName>
    <definedName name="solver_rlx" localSheetId="8" hidden="1">2</definedName>
    <definedName name="solver_rsd" localSheetId="8" hidden="1">0</definedName>
    <definedName name="solver_scl" localSheetId="8" hidden="1">1</definedName>
    <definedName name="solver_sho" localSheetId="8" hidden="1">2</definedName>
    <definedName name="solver_ssz" localSheetId="8" hidden="1">100</definedName>
    <definedName name="solver_tim" localSheetId="8" hidden="1">2147483647</definedName>
    <definedName name="solver_tol" localSheetId="8" hidden="1">0.01</definedName>
    <definedName name="solver_typ" localSheetId="6" hidden="1">1</definedName>
    <definedName name="solver_typ" localSheetId="8" hidden="1">2</definedName>
    <definedName name="solver_val" localSheetId="6" hidden="1">0</definedName>
    <definedName name="solver_val" localSheetId="8" hidden="1">0</definedName>
    <definedName name="solver_ver" localSheetId="6" hidden="1">3</definedName>
    <definedName name="solver_ver" localSheetId="8" hidden="1">3</definedName>
    <definedName name="stockout_cost">'[6]4.4.b - Sol'!#REF!</definedName>
    <definedName name="total_cost">'[6]4.4.b - Sol'!#REF!</definedName>
    <definedName name="z_stern" localSheetId="3">'[1]4.2.b - WPP'!$E$10</definedName>
    <definedName name="z_stern" localSheetId="4">'[1]4.2.b - WPP'!$E$10</definedName>
    <definedName name="z_stern">'[2]4.2.b - WPP'!$E$10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39" l="1"/>
  <c r="O5" i="139" s="1" a="1"/>
  <c r="O5" i="139" s="1"/>
  <c r="H38" i="42"/>
  <c r="O14" i="121"/>
  <c r="N14" i="121"/>
  <c r="M14" i="121"/>
  <c r="K7" i="121"/>
  <c r="M7" i="121" s="1"/>
  <c r="K8" i="121"/>
  <c r="M8" i="121" s="1"/>
  <c r="K9" i="121"/>
  <c r="N9" i="121" s="1"/>
  <c r="K10" i="121"/>
  <c r="O10" i="121" s="1"/>
  <c r="K11" i="121"/>
  <c r="O11" i="121" s="1"/>
  <c r="K6" i="121"/>
  <c r="N6" i="121" s="1"/>
  <c r="I6" i="139"/>
  <c r="J6" i="139"/>
  <c r="K6" i="139"/>
  <c r="L6" i="139"/>
  <c r="I7" i="139"/>
  <c r="J7" i="139"/>
  <c r="K7" i="139"/>
  <c r="L7" i="139"/>
  <c r="I8" i="139"/>
  <c r="J8" i="139"/>
  <c r="K8" i="139"/>
  <c r="L8" i="139"/>
  <c r="I9" i="139"/>
  <c r="J9" i="139"/>
  <c r="K9" i="139"/>
  <c r="L9" i="139"/>
  <c r="J5" i="139"/>
  <c r="K5" i="139"/>
  <c r="L5" i="139"/>
  <c r="I5" i="139"/>
  <c r="T27" i="103"/>
  <c r="S27" i="103"/>
  <c r="R27" i="103"/>
  <c r="E9" i="103"/>
  <c r="F9" i="103" s="1"/>
  <c r="E10" i="103"/>
  <c r="F10" i="103"/>
  <c r="E11" i="103"/>
  <c r="F11" i="103" s="1"/>
  <c r="E12" i="103"/>
  <c r="F12" i="103" s="1"/>
  <c r="E13" i="103"/>
  <c r="F13" i="103" s="1"/>
  <c r="E14" i="103"/>
  <c r="F14" i="103"/>
  <c r="E15" i="103"/>
  <c r="F15" i="103" s="1"/>
  <c r="E16" i="103"/>
  <c r="F16" i="103" s="1"/>
  <c r="E17" i="103"/>
  <c r="F17" i="103" s="1"/>
  <c r="E18" i="103"/>
  <c r="F18" i="103"/>
  <c r="E19" i="103"/>
  <c r="F19" i="103" s="1"/>
  <c r="E20" i="103"/>
  <c r="F20" i="103" s="1"/>
  <c r="E21" i="103"/>
  <c r="F21" i="103" s="1"/>
  <c r="E22" i="103"/>
  <c r="F22" i="103" s="1"/>
  <c r="E23" i="103"/>
  <c r="F23" i="103" s="1"/>
  <c r="E24" i="103"/>
  <c r="F24" i="103" s="1"/>
  <c r="E25" i="103"/>
  <c r="F25" i="103" s="1"/>
  <c r="E26" i="103"/>
  <c r="F26" i="103" s="1"/>
  <c r="E27" i="103"/>
  <c r="F27" i="103" s="1"/>
  <c r="E28" i="103"/>
  <c r="F28" i="103" s="1"/>
  <c r="E29" i="103"/>
  <c r="F29" i="103" s="1"/>
  <c r="E30" i="103"/>
  <c r="F30" i="103" s="1"/>
  <c r="E31" i="103"/>
  <c r="F31" i="103" s="1"/>
  <c r="E32" i="103"/>
  <c r="F32" i="103" s="1"/>
  <c r="E33" i="103"/>
  <c r="F33" i="103" s="1"/>
  <c r="E34" i="103"/>
  <c r="F34" i="103" s="1"/>
  <c r="E35" i="103"/>
  <c r="F35" i="103" s="1"/>
  <c r="E36" i="103"/>
  <c r="F36" i="103" s="1"/>
  <c r="E37" i="103"/>
  <c r="F37" i="103" s="1"/>
  <c r="E38" i="103"/>
  <c r="F38" i="103" s="1"/>
  <c r="E39" i="103"/>
  <c r="F39" i="103" s="1"/>
  <c r="E40" i="103"/>
  <c r="F40" i="103" s="1"/>
  <c r="E41" i="103"/>
  <c r="F41" i="103" s="1"/>
  <c r="E42" i="103"/>
  <c r="F42" i="103" s="1"/>
  <c r="E43" i="103"/>
  <c r="F43" i="103" s="1"/>
  <c r="E44" i="103"/>
  <c r="F44" i="103" s="1"/>
  <c r="E45" i="103"/>
  <c r="F45" i="103" s="1"/>
  <c r="E46" i="103"/>
  <c r="F46" i="103" s="1"/>
  <c r="E47" i="103"/>
  <c r="F47" i="103" s="1"/>
  <c r="F8" i="103"/>
  <c r="E8" i="103"/>
  <c r="K13" i="150" a="1"/>
  <c r="K13" i="150" s="1"/>
  <c r="I4" i="150" a="1"/>
  <c r="I4" i="150" s="1"/>
  <c r="J4" i="150" a="1"/>
  <c r="J4" i="150" s="1"/>
  <c r="K4" i="150" a="1"/>
  <c r="K4" i="150" s="1"/>
  <c r="L4" i="150" a="1"/>
  <c r="L4" i="150" s="1"/>
  <c r="M4" i="150" a="1"/>
  <c r="M4" i="150" s="1"/>
  <c r="N4" i="150" a="1"/>
  <c r="N4" i="150" s="1"/>
  <c r="O4" i="150" a="1"/>
  <c r="O4" i="150" s="1"/>
  <c r="P4" i="150" a="1"/>
  <c r="P4" i="150" s="1"/>
  <c r="Q4" i="150" a="1"/>
  <c r="Q4" i="150" s="1"/>
  <c r="R4" i="150" a="1"/>
  <c r="R4" i="150" s="1"/>
  <c r="S4" i="150" a="1"/>
  <c r="S4" i="150" s="1"/>
  <c r="T4" i="150" a="1"/>
  <c r="T4" i="150" s="1"/>
  <c r="U4" i="150" a="1"/>
  <c r="U4" i="150" s="1"/>
  <c r="V4" i="150" a="1"/>
  <c r="V4" i="150" s="1"/>
  <c r="W4" i="150" a="1"/>
  <c r="W4" i="150" s="1"/>
  <c r="X4" i="150" a="1"/>
  <c r="X4" i="150" s="1"/>
  <c r="Y4" i="150" a="1"/>
  <c r="Y4" i="150" s="1"/>
  <c r="Z4" i="150" a="1"/>
  <c r="Z4" i="150" s="1"/>
  <c r="AA4" i="150" a="1"/>
  <c r="AA4" i="150" s="1"/>
  <c r="I5" i="150" a="1"/>
  <c r="I5" i="150" s="1"/>
  <c r="J5" i="150" a="1"/>
  <c r="J5" i="150" s="1"/>
  <c r="K5" i="150" a="1"/>
  <c r="K5" i="150" s="1"/>
  <c r="L5" i="150" a="1"/>
  <c r="L5" i="150" s="1"/>
  <c r="M5" i="150" a="1"/>
  <c r="M5" i="150" s="1"/>
  <c r="N5" i="150" a="1"/>
  <c r="N5" i="150" s="1"/>
  <c r="O5" i="150" a="1"/>
  <c r="O5" i="150" s="1"/>
  <c r="P5" i="150" a="1"/>
  <c r="P5" i="150" s="1"/>
  <c r="Q5" i="150" a="1"/>
  <c r="Q5" i="150" s="1"/>
  <c r="R5" i="150" a="1"/>
  <c r="R5" i="150" s="1"/>
  <c r="S5" i="150" a="1"/>
  <c r="S5" i="150" s="1"/>
  <c r="T5" i="150" a="1"/>
  <c r="T5" i="150" s="1"/>
  <c r="U5" i="150" a="1"/>
  <c r="U5" i="150" s="1"/>
  <c r="V5" i="150" a="1"/>
  <c r="V5" i="150" s="1"/>
  <c r="W5" i="150" a="1"/>
  <c r="W5" i="150" s="1"/>
  <c r="X5" i="150" a="1"/>
  <c r="X5" i="150" s="1"/>
  <c r="Y5" i="150" a="1"/>
  <c r="Y5" i="150" s="1"/>
  <c r="Z5" i="150" a="1"/>
  <c r="Z5" i="150" s="1"/>
  <c r="AA5" i="150" a="1"/>
  <c r="AA5" i="150" s="1"/>
  <c r="I6" i="150" a="1"/>
  <c r="I6" i="150" s="1"/>
  <c r="J6" i="150" a="1"/>
  <c r="J6" i="150" s="1"/>
  <c r="K6" i="150" a="1"/>
  <c r="K6" i="150" s="1"/>
  <c r="L6" i="150" a="1"/>
  <c r="L6" i="150" s="1"/>
  <c r="M6" i="150" a="1"/>
  <c r="M6" i="150" s="1"/>
  <c r="N6" i="150" a="1"/>
  <c r="N6" i="150" s="1"/>
  <c r="O6" i="150" a="1"/>
  <c r="O6" i="150" s="1"/>
  <c r="P6" i="150" a="1"/>
  <c r="P6" i="150" s="1"/>
  <c r="Q6" i="150" a="1"/>
  <c r="Q6" i="150" s="1"/>
  <c r="R6" i="150" a="1"/>
  <c r="R6" i="150" s="1"/>
  <c r="S6" i="150" a="1"/>
  <c r="S6" i="150" s="1"/>
  <c r="T6" i="150" a="1"/>
  <c r="T6" i="150" s="1"/>
  <c r="U6" i="150" a="1"/>
  <c r="U6" i="150" s="1"/>
  <c r="V6" i="150" a="1"/>
  <c r="V6" i="150" s="1"/>
  <c r="W6" i="150" a="1"/>
  <c r="W6" i="150" s="1"/>
  <c r="X6" i="150" a="1"/>
  <c r="X6" i="150" s="1"/>
  <c r="Y6" i="150" a="1"/>
  <c r="Y6" i="150" s="1"/>
  <c r="Z6" i="150" a="1"/>
  <c r="Z6" i="150" s="1"/>
  <c r="AA6" i="150" a="1"/>
  <c r="AA6" i="150" s="1"/>
  <c r="I7" i="150" a="1"/>
  <c r="I7" i="150" s="1"/>
  <c r="J7" i="150" a="1"/>
  <c r="J7" i="150" s="1"/>
  <c r="K7" i="150" a="1"/>
  <c r="K7" i="150" s="1"/>
  <c r="L7" i="150" a="1"/>
  <c r="L7" i="150" s="1"/>
  <c r="M7" i="150" a="1"/>
  <c r="M7" i="150" s="1"/>
  <c r="N7" i="150" a="1"/>
  <c r="N7" i="150" s="1"/>
  <c r="O7" i="150" a="1"/>
  <c r="O7" i="150" s="1"/>
  <c r="P7" i="150" a="1"/>
  <c r="P7" i="150" s="1"/>
  <c r="Q7" i="150" a="1"/>
  <c r="Q7" i="150" s="1"/>
  <c r="R7" i="150" a="1"/>
  <c r="R7" i="150" s="1"/>
  <c r="S7" i="150" a="1"/>
  <c r="S7" i="150" s="1"/>
  <c r="T7" i="150" a="1"/>
  <c r="T7" i="150" s="1"/>
  <c r="U7" i="150" a="1"/>
  <c r="U7" i="150" s="1"/>
  <c r="V7" i="150" a="1"/>
  <c r="V7" i="150" s="1"/>
  <c r="W7" i="150" a="1"/>
  <c r="W7" i="150" s="1"/>
  <c r="X7" i="150" a="1"/>
  <c r="X7" i="150" s="1"/>
  <c r="Y7" i="150" a="1"/>
  <c r="Y7" i="150" s="1"/>
  <c r="Z7" i="150" a="1"/>
  <c r="Z7" i="150" s="1"/>
  <c r="AA7" i="150" a="1"/>
  <c r="AA7" i="150" s="1"/>
  <c r="I8" i="150" a="1"/>
  <c r="I8" i="150" s="1"/>
  <c r="J8" i="150" a="1"/>
  <c r="J8" i="150" s="1"/>
  <c r="K8" i="150" a="1"/>
  <c r="K8" i="150" s="1"/>
  <c r="L8" i="150" a="1"/>
  <c r="L8" i="150" s="1"/>
  <c r="M8" i="150" a="1"/>
  <c r="M8" i="150" s="1"/>
  <c r="N8" i="150" a="1"/>
  <c r="N8" i="150" s="1"/>
  <c r="O8" i="150" a="1"/>
  <c r="O8" i="150" s="1"/>
  <c r="P8" i="150" a="1"/>
  <c r="P8" i="150" s="1"/>
  <c r="Q8" i="150" a="1"/>
  <c r="Q8" i="150" s="1"/>
  <c r="R8" i="150" a="1"/>
  <c r="R8" i="150" s="1"/>
  <c r="S8" i="150" a="1"/>
  <c r="S8" i="150" s="1"/>
  <c r="T8" i="150" a="1"/>
  <c r="T8" i="150" s="1"/>
  <c r="U8" i="150" a="1"/>
  <c r="U8" i="150" s="1"/>
  <c r="V8" i="150" a="1"/>
  <c r="V8" i="150" s="1"/>
  <c r="W8" i="150" a="1"/>
  <c r="W8" i="150" s="1"/>
  <c r="X8" i="150" a="1"/>
  <c r="X8" i="150" s="1"/>
  <c r="Y8" i="150" a="1"/>
  <c r="Y8" i="150" s="1"/>
  <c r="Z8" i="150" a="1"/>
  <c r="Z8" i="150" s="1"/>
  <c r="AA8" i="150" a="1"/>
  <c r="AA8" i="150" s="1"/>
  <c r="I9" i="150" a="1"/>
  <c r="I9" i="150" s="1"/>
  <c r="J9" i="150" a="1"/>
  <c r="J9" i="150" s="1"/>
  <c r="K9" i="150" a="1"/>
  <c r="K9" i="150" s="1"/>
  <c r="L9" i="150" a="1"/>
  <c r="L9" i="150" s="1"/>
  <c r="M9" i="150" a="1"/>
  <c r="M9" i="150" s="1"/>
  <c r="N9" i="150" a="1"/>
  <c r="N9" i="150" s="1"/>
  <c r="O9" i="150" a="1"/>
  <c r="O9" i="150" s="1"/>
  <c r="P9" i="150" a="1"/>
  <c r="P9" i="150" s="1"/>
  <c r="Q9" i="150" a="1"/>
  <c r="Q9" i="150" s="1"/>
  <c r="R9" i="150" a="1"/>
  <c r="R9" i="150" s="1"/>
  <c r="S9" i="150" a="1"/>
  <c r="S9" i="150" s="1"/>
  <c r="T9" i="150" a="1"/>
  <c r="T9" i="150" s="1"/>
  <c r="U9" i="150" a="1"/>
  <c r="U9" i="150" s="1"/>
  <c r="V9" i="150" a="1"/>
  <c r="V9" i="150" s="1"/>
  <c r="W9" i="150" a="1"/>
  <c r="W9" i="150" s="1"/>
  <c r="X9" i="150" a="1"/>
  <c r="X9" i="150" s="1"/>
  <c r="Y9" i="150" a="1"/>
  <c r="Y9" i="150" s="1"/>
  <c r="Z9" i="150" a="1"/>
  <c r="Z9" i="150" s="1"/>
  <c r="AA9" i="150" a="1"/>
  <c r="AA9" i="150" s="1"/>
  <c r="I10" i="150" a="1"/>
  <c r="I10" i="150" s="1"/>
  <c r="J10" i="150" a="1"/>
  <c r="J10" i="150" s="1"/>
  <c r="K10" i="150" a="1"/>
  <c r="K10" i="150" s="1"/>
  <c r="L10" i="150" a="1"/>
  <c r="L10" i="150" s="1"/>
  <c r="M10" i="150" a="1"/>
  <c r="M10" i="150" s="1"/>
  <c r="N10" i="150" a="1"/>
  <c r="N10" i="150" s="1"/>
  <c r="O10" i="150" a="1"/>
  <c r="O10" i="150" s="1"/>
  <c r="P10" i="150" a="1"/>
  <c r="P10" i="150" s="1"/>
  <c r="Q10" i="150" a="1"/>
  <c r="Q10" i="150" s="1"/>
  <c r="R10" i="150" a="1"/>
  <c r="R10" i="150" s="1"/>
  <c r="S10" i="150" a="1"/>
  <c r="S10" i="150" s="1"/>
  <c r="T10" i="150" a="1"/>
  <c r="T10" i="150" s="1"/>
  <c r="U10" i="150" a="1"/>
  <c r="U10" i="150" s="1"/>
  <c r="V10" i="150" a="1"/>
  <c r="V10" i="150" s="1"/>
  <c r="W10" i="150" a="1"/>
  <c r="W10" i="150" s="1"/>
  <c r="X10" i="150" a="1"/>
  <c r="X10" i="150" s="1"/>
  <c r="Y10" i="150" a="1"/>
  <c r="Y10" i="150" s="1"/>
  <c r="Z10" i="150" a="1"/>
  <c r="Z10" i="150" s="1"/>
  <c r="AA10" i="150" a="1"/>
  <c r="AA10" i="150" s="1"/>
  <c r="I11" i="150" a="1"/>
  <c r="I11" i="150" s="1"/>
  <c r="J11" i="150" a="1"/>
  <c r="J11" i="150" s="1"/>
  <c r="K11" i="150" a="1"/>
  <c r="K11" i="150" s="1"/>
  <c r="L11" i="150" a="1"/>
  <c r="L11" i="150" s="1"/>
  <c r="M11" i="150" a="1"/>
  <c r="M11" i="150" s="1"/>
  <c r="N11" i="150" a="1"/>
  <c r="N11" i="150" s="1"/>
  <c r="O11" i="150" a="1"/>
  <c r="O11" i="150" s="1"/>
  <c r="P11" i="150" a="1"/>
  <c r="P11" i="150" s="1"/>
  <c r="Q11" i="150" a="1"/>
  <c r="Q11" i="150" s="1"/>
  <c r="R11" i="150" a="1"/>
  <c r="R11" i="150" s="1"/>
  <c r="S11" i="150" a="1"/>
  <c r="S11" i="150" s="1"/>
  <c r="T11" i="150" a="1"/>
  <c r="T11" i="150" s="1"/>
  <c r="U11" i="150" a="1"/>
  <c r="U11" i="150" s="1"/>
  <c r="V11" i="150" a="1"/>
  <c r="V11" i="150" s="1"/>
  <c r="W11" i="150" a="1"/>
  <c r="W11" i="150" s="1"/>
  <c r="X11" i="150" a="1"/>
  <c r="X11" i="150" s="1"/>
  <c r="Y11" i="150" a="1"/>
  <c r="Y11" i="150" s="1"/>
  <c r="Z11" i="150" a="1"/>
  <c r="Z11" i="150" s="1"/>
  <c r="AA11" i="150" a="1"/>
  <c r="AA11" i="150" s="1"/>
  <c r="I12" i="150" a="1"/>
  <c r="I12" i="150" s="1"/>
  <c r="J12" i="150" a="1"/>
  <c r="J12" i="150" s="1"/>
  <c r="K12" i="150" a="1"/>
  <c r="K12" i="150" s="1"/>
  <c r="L12" i="150" a="1"/>
  <c r="L12" i="150" s="1"/>
  <c r="M12" i="150" a="1"/>
  <c r="M12" i="150" s="1"/>
  <c r="N12" i="150" a="1"/>
  <c r="N12" i="150" s="1"/>
  <c r="O12" i="150" a="1"/>
  <c r="O12" i="150" s="1"/>
  <c r="P12" i="150" a="1"/>
  <c r="P12" i="150" s="1"/>
  <c r="Q12" i="150" a="1"/>
  <c r="Q12" i="150" s="1"/>
  <c r="R12" i="150" a="1"/>
  <c r="R12" i="150" s="1"/>
  <c r="S12" i="150" a="1"/>
  <c r="S12" i="150" s="1"/>
  <c r="T12" i="150" a="1"/>
  <c r="T12" i="150" s="1"/>
  <c r="U12" i="150" a="1"/>
  <c r="U12" i="150" s="1"/>
  <c r="V12" i="150" a="1"/>
  <c r="V12" i="150" s="1"/>
  <c r="W12" i="150" a="1"/>
  <c r="W12" i="150" s="1"/>
  <c r="X12" i="150" a="1"/>
  <c r="X12" i="150" s="1"/>
  <c r="Y12" i="150" a="1"/>
  <c r="Y12" i="150" s="1"/>
  <c r="Z12" i="150" a="1"/>
  <c r="Z12" i="150" s="1"/>
  <c r="AA12" i="150" a="1"/>
  <c r="AA12" i="150" s="1"/>
  <c r="I13" i="150" a="1"/>
  <c r="I13" i="150" s="1"/>
  <c r="J13" i="150" a="1"/>
  <c r="J13" i="150" s="1"/>
  <c r="L13" i="150" a="1"/>
  <c r="L13" i="150" s="1"/>
  <c r="M13" i="150" a="1"/>
  <c r="M13" i="150" s="1"/>
  <c r="N13" i="150" a="1"/>
  <c r="N13" i="150" s="1"/>
  <c r="O13" i="150" a="1"/>
  <c r="O13" i="150" s="1"/>
  <c r="P13" i="150" a="1"/>
  <c r="P13" i="150" s="1"/>
  <c r="Q13" i="150" a="1"/>
  <c r="Q13" i="150" s="1"/>
  <c r="R13" i="150" a="1"/>
  <c r="R13" i="150" s="1"/>
  <c r="S13" i="150" a="1"/>
  <c r="S13" i="150" s="1"/>
  <c r="T13" i="150" a="1"/>
  <c r="T13" i="150" s="1"/>
  <c r="U13" i="150" a="1"/>
  <c r="U13" i="150" s="1"/>
  <c r="V13" i="150" a="1"/>
  <c r="V13" i="150" s="1"/>
  <c r="W13" i="150" a="1"/>
  <c r="W13" i="150" s="1"/>
  <c r="X13" i="150" a="1"/>
  <c r="X13" i="150" s="1"/>
  <c r="Y13" i="150" a="1"/>
  <c r="Y13" i="150" s="1"/>
  <c r="Z13" i="150" a="1"/>
  <c r="Z13" i="150" s="1"/>
  <c r="AA13" i="150" a="1"/>
  <c r="AA13" i="150" s="1"/>
  <c r="H5" i="150" a="1"/>
  <c r="H5" i="150" s="1"/>
  <c r="H6" i="150" a="1"/>
  <c r="H6" i="150" s="1"/>
  <c r="H7" i="150" a="1"/>
  <c r="H7" i="150" s="1"/>
  <c r="H8" i="150" a="1"/>
  <c r="H8" i="150" s="1"/>
  <c r="H9" i="150" a="1"/>
  <c r="H9" i="150" s="1"/>
  <c r="H10" i="150" a="1"/>
  <c r="H10" i="150" s="1"/>
  <c r="H11" i="150" a="1"/>
  <c r="H11" i="150" s="1"/>
  <c r="H12" i="150" a="1"/>
  <c r="H12" i="150" s="1"/>
  <c r="H13" i="150" a="1"/>
  <c r="H13" i="150" s="1"/>
  <c r="H4" i="150" a="1"/>
  <c r="H4" i="150" s="1"/>
  <c r="P7" i="148"/>
  <c r="Q7" i="148"/>
  <c r="R7" i="148"/>
  <c r="R36" i="148" s="1"/>
  <c r="P8" i="148"/>
  <c r="Q8" i="148"/>
  <c r="R8" i="148"/>
  <c r="P9" i="148"/>
  <c r="P36" i="148" s="1"/>
  <c r="R37" i="148" s="1"/>
  <c r="Q9" i="148"/>
  <c r="R9" i="148"/>
  <c r="P10" i="148"/>
  <c r="Q10" i="148"/>
  <c r="R10" i="148"/>
  <c r="P11" i="148"/>
  <c r="Q11" i="148"/>
  <c r="R11" i="148"/>
  <c r="P12" i="148"/>
  <c r="Q12" i="148"/>
  <c r="R12" i="148"/>
  <c r="P13" i="148"/>
  <c r="Q13" i="148"/>
  <c r="R13" i="148"/>
  <c r="P14" i="148"/>
  <c r="Q14" i="148"/>
  <c r="R14" i="148"/>
  <c r="P15" i="148"/>
  <c r="Q15" i="148"/>
  <c r="R15" i="148"/>
  <c r="P16" i="148"/>
  <c r="Q16" i="148"/>
  <c r="R16" i="148"/>
  <c r="P17" i="148"/>
  <c r="Q17" i="148"/>
  <c r="Q36" i="148" s="1"/>
  <c r="R17" i="148"/>
  <c r="P18" i="148"/>
  <c r="Q18" i="148"/>
  <c r="R18" i="148"/>
  <c r="P19" i="148"/>
  <c r="Q19" i="148"/>
  <c r="R19" i="148"/>
  <c r="P20" i="148"/>
  <c r="Q20" i="148"/>
  <c r="R20" i="148"/>
  <c r="P21" i="148"/>
  <c r="Q21" i="148"/>
  <c r="R21" i="148"/>
  <c r="P22" i="148"/>
  <c r="Q22" i="148"/>
  <c r="R22" i="148"/>
  <c r="P23" i="148"/>
  <c r="Q23" i="148"/>
  <c r="R23" i="148"/>
  <c r="P24" i="148"/>
  <c r="Q24" i="148"/>
  <c r="R24" i="148"/>
  <c r="P25" i="148"/>
  <c r="Q25" i="148"/>
  <c r="R25" i="148"/>
  <c r="P26" i="148"/>
  <c r="Q26" i="148"/>
  <c r="R26" i="148"/>
  <c r="P27" i="148"/>
  <c r="Q27" i="148"/>
  <c r="R27" i="148"/>
  <c r="P28" i="148"/>
  <c r="Q28" i="148"/>
  <c r="R28" i="148"/>
  <c r="P29" i="148"/>
  <c r="Q29" i="148"/>
  <c r="R29" i="148"/>
  <c r="P30" i="148"/>
  <c r="Q30" i="148"/>
  <c r="R30" i="148"/>
  <c r="P31" i="148"/>
  <c r="Q31" i="148"/>
  <c r="R31" i="148"/>
  <c r="P32" i="148"/>
  <c r="Q32" i="148"/>
  <c r="R32" i="148"/>
  <c r="P33" i="148"/>
  <c r="Q33" i="148"/>
  <c r="R33" i="148"/>
  <c r="P34" i="148"/>
  <c r="Q34" i="148"/>
  <c r="R34" i="148"/>
  <c r="P35" i="148"/>
  <c r="Q35" i="148"/>
  <c r="R35" i="148"/>
  <c r="R6" i="148"/>
  <c r="P6" i="148"/>
  <c r="Q6" i="148"/>
  <c r="M7" i="148"/>
  <c r="M6" i="148"/>
  <c r="K8" i="148"/>
  <c r="K7" i="148"/>
  <c r="I6" i="148"/>
  <c r="H6" i="148"/>
  <c r="H30" i="146"/>
  <c r="G27" i="146"/>
  <c r="H27" i="146"/>
  <c r="E27" i="146"/>
  <c r="D27" i="146"/>
  <c r="H21" i="146"/>
  <c r="G20" i="146"/>
  <c r="H20" i="146"/>
  <c r="G19" i="146"/>
  <c r="H19" i="146"/>
  <c r="H18" i="146"/>
  <c r="G18" i="146"/>
  <c r="F12" i="146"/>
  <c r="F11" i="146"/>
  <c r="F10" i="146"/>
  <c r="D27" i="138"/>
  <c r="E19" i="138"/>
  <c r="F19" i="138"/>
  <c r="G19" i="138"/>
  <c r="D19" i="138"/>
  <c r="H16" i="138"/>
  <c r="H17" i="138"/>
  <c r="H18" i="138"/>
  <c r="H15" i="138"/>
  <c r="V5" i="129"/>
  <c r="P5" i="129"/>
  <c r="Q5" i="129" s="1"/>
  <c r="K18" i="129"/>
  <c r="K6" i="129"/>
  <c r="K7" i="129"/>
  <c r="K8" i="129"/>
  <c r="K9" i="129"/>
  <c r="K10" i="129"/>
  <c r="K11" i="129"/>
  <c r="K12" i="129"/>
  <c r="K13" i="129"/>
  <c r="K14" i="129"/>
  <c r="K5" i="129"/>
  <c r="J7" i="129"/>
  <c r="J8" i="129" s="1"/>
  <c r="J6" i="129"/>
  <c r="J5" i="129"/>
  <c r="J6" i="125"/>
  <c r="J7" i="125"/>
  <c r="J8" i="125"/>
  <c r="J9" i="125"/>
  <c r="J10" i="125"/>
  <c r="J11" i="125"/>
  <c r="J12" i="125"/>
  <c r="J13" i="125"/>
  <c r="J14" i="125"/>
  <c r="J15" i="125"/>
  <c r="J16" i="125"/>
  <c r="J5" i="125"/>
  <c r="H16" i="125"/>
  <c r="H15" i="125"/>
  <c r="H14" i="125"/>
  <c r="H13" i="125"/>
  <c r="H10" i="125"/>
  <c r="H9" i="125"/>
  <c r="H8" i="125"/>
  <c r="H7" i="125"/>
  <c r="H6" i="125"/>
  <c r="H5" i="125"/>
  <c r="D14" i="144"/>
  <c r="F11" i="144"/>
  <c r="F10" i="144"/>
  <c r="D11" i="144"/>
  <c r="E11" i="144" s="1"/>
  <c r="E10" i="144"/>
  <c r="D10" i="144"/>
  <c r="I17" i="142"/>
  <c r="I18" i="142"/>
  <c r="I19" i="142"/>
  <c r="I20" i="142"/>
  <c r="I21" i="142"/>
  <c r="I22" i="142"/>
  <c r="I16" i="142"/>
  <c r="D21" i="142"/>
  <c r="D17" i="142"/>
  <c r="E17" i="142"/>
  <c r="F17" i="142"/>
  <c r="G17" i="142"/>
  <c r="H17" i="142"/>
  <c r="D18" i="142"/>
  <c r="E18" i="142"/>
  <c r="F18" i="142"/>
  <c r="G18" i="142"/>
  <c r="H18" i="142"/>
  <c r="D19" i="142"/>
  <c r="E19" i="142"/>
  <c r="F19" i="142"/>
  <c r="G19" i="142"/>
  <c r="H19" i="142"/>
  <c r="D20" i="142"/>
  <c r="E20" i="142"/>
  <c r="F20" i="142"/>
  <c r="G20" i="142"/>
  <c r="H20" i="142"/>
  <c r="E21" i="142"/>
  <c r="F21" i="142"/>
  <c r="G21" i="142"/>
  <c r="H21" i="142"/>
  <c r="D22" i="142"/>
  <c r="E22" i="142"/>
  <c r="F22" i="142"/>
  <c r="G22" i="142"/>
  <c r="H22" i="142"/>
  <c r="H16" i="142"/>
  <c r="E16" i="142"/>
  <c r="F16" i="142"/>
  <c r="G16" i="142"/>
  <c r="D16" i="142"/>
  <c r="D10" i="142"/>
  <c r="D9" i="142"/>
  <c r="F23" i="140"/>
  <c r="F22" i="140"/>
  <c r="E16" i="140"/>
  <c r="E6" i="120"/>
  <c r="E7" i="120"/>
  <c r="E8" i="120"/>
  <c r="E9" i="120"/>
  <c r="E10" i="120"/>
  <c r="E11" i="120"/>
  <c r="E12" i="120"/>
  <c r="E13" i="120"/>
  <c r="E14" i="120"/>
  <c r="E15" i="120"/>
  <c r="E16" i="120"/>
  <c r="E17" i="120"/>
  <c r="E18" i="120"/>
  <c r="E19" i="120"/>
  <c r="E20" i="120"/>
  <c r="E21" i="120"/>
  <c r="E22" i="120"/>
  <c r="E23" i="120"/>
  <c r="E24" i="120"/>
  <c r="E25" i="120"/>
  <c r="E26" i="120"/>
  <c r="E27" i="120"/>
  <c r="E28" i="120"/>
  <c r="E29" i="120"/>
  <c r="E30" i="120"/>
  <c r="E31" i="120"/>
  <c r="E32" i="120"/>
  <c r="E33" i="120"/>
  <c r="E34" i="120"/>
  <c r="E35" i="120"/>
  <c r="E36" i="120"/>
  <c r="E37" i="120"/>
  <c r="E38" i="120"/>
  <c r="E39" i="120"/>
  <c r="E40" i="120"/>
  <c r="E5" i="120"/>
  <c r="I17" i="42"/>
  <c r="J21" i="42"/>
  <c r="K21" i="42" s="1"/>
  <c r="I21" i="42"/>
  <c r="J6" i="42"/>
  <c r="K6" i="42" s="1"/>
  <c r="J7" i="42"/>
  <c r="K7" i="42" s="1"/>
  <c r="J8" i="42"/>
  <c r="K8" i="42" s="1"/>
  <c r="J9" i="42"/>
  <c r="K9" i="42" s="1"/>
  <c r="J10" i="42"/>
  <c r="K10" i="42" s="1"/>
  <c r="J11" i="42"/>
  <c r="K11" i="42" s="1"/>
  <c r="J12" i="42"/>
  <c r="K12" i="42" s="1"/>
  <c r="J13" i="42"/>
  <c r="K13" i="42" s="1"/>
  <c r="J14" i="42"/>
  <c r="K14" i="42" s="1"/>
  <c r="J15" i="42"/>
  <c r="K15" i="42" s="1"/>
  <c r="J16" i="42"/>
  <c r="K16" i="42" s="1"/>
  <c r="J17" i="42"/>
  <c r="K17" i="42" s="1"/>
  <c r="J18" i="42"/>
  <c r="K18" i="42" s="1"/>
  <c r="J19" i="42"/>
  <c r="K19" i="42" s="1"/>
  <c r="J20" i="42"/>
  <c r="K20" i="42" s="1"/>
  <c r="J22" i="42"/>
  <c r="K22" i="42" s="1"/>
  <c r="J23" i="42"/>
  <c r="K23" i="42" s="1"/>
  <c r="J24" i="42"/>
  <c r="K24" i="42" s="1"/>
  <c r="J25" i="42"/>
  <c r="K25" i="42" s="1"/>
  <c r="J26" i="42"/>
  <c r="K26" i="42" s="1"/>
  <c r="J27" i="42"/>
  <c r="K27" i="42" s="1"/>
  <c r="J28" i="42"/>
  <c r="K28" i="42" s="1"/>
  <c r="J29" i="42"/>
  <c r="K29" i="42" s="1"/>
  <c r="J30" i="42"/>
  <c r="K30" i="42" s="1"/>
  <c r="J31" i="42"/>
  <c r="K31" i="42" s="1"/>
  <c r="J32" i="42"/>
  <c r="K32" i="42" s="1"/>
  <c r="J33" i="42"/>
  <c r="K33" i="42" s="1"/>
  <c r="J34" i="42"/>
  <c r="K34" i="42" s="1"/>
  <c r="J35" i="42"/>
  <c r="K35" i="42" s="1"/>
  <c r="J36" i="42"/>
  <c r="K36" i="42" s="1"/>
  <c r="J37" i="42"/>
  <c r="K37" i="42" s="1"/>
  <c r="J38" i="42"/>
  <c r="K38" i="42" s="1"/>
  <c r="J39" i="42"/>
  <c r="K39" i="42" s="1"/>
  <c r="J40" i="42"/>
  <c r="J5" i="42"/>
  <c r="K5" i="42" s="1"/>
  <c r="I8" i="42"/>
  <c r="I9" i="42"/>
  <c r="I10" i="42"/>
  <c r="I11" i="42"/>
  <c r="I12" i="42"/>
  <c r="I13" i="42"/>
  <c r="I14" i="42"/>
  <c r="I15" i="42"/>
  <c r="I16" i="42"/>
  <c r="I18" i="42"/>
  <c r="I19" i="42"/>
  <c r="I20" i="42"/>
  <c r="I22" i="42"/>
  <c r="I23" i="42"/>
  <c r="I24" i="42"/>
  <c r="I25" i="42"/>
  <c r="I26" i="42"/>
  <c r="I27" i="42"/>
  <c r="I28" i="42"/>
  <c r="I29" i="42"/>
  <c r="I30" i="42"/>
  <c r="I31" i="42"/>
  <c r="I32" i="42"/>
  <c r="I33" i="42"/>
  <c r="I34" i="42"/>
  <c r="I35" i="42"/>
  <c r="I36" i="42"/>
  <c r="I37" i="42"/>
  <c r="I38" i="42"/>
  <c r="I7" i="42"/>
  <c r="H8" i="42"/>
  <c r="H9" i="42"/>
  <c r="H10" i="42"/>
  <c r="H11" i="42"/>
  <c r="H12" i="42"/>
  <c r="H13" i="42"/>
  <c r="H14" i="42"/>
  <c r="H15" i="42"/>
  <c r="H16" i="42"/>
  <c r="H17" i="42"/>
  <c r="H18" i="42"/>
  <c r="H19" i="42"/>
  <c r="H20" i="42"/>
  <c r="H21" i="42"/>
  <c r="H22" i="42"/>
  <c r="H23" i="42"/>
  <c r="H24" i="42"/>
  <c r="H25" i="42"/>
  <c r="H26" i="42"/>
  <c r="H27" i="42"/>
  <c r="H28" i="42"/>
  <c r="H29" i="42"/>
  <c r="H30" i="42"/>
  <c r="H31" i="42"/>
  <c r="H32" i="42"/>
  <c r="H33" i="42"/>
  <c r="H34" i="42"/>
  <c r="H35" i="42"/>
  <c r="H36" i="42"/>
  <c r="H37" i="42"/>
  <c r="H7" i="42"/>
  <c r="M15" i="138"/>
  <c r="G12" i="139"/>
  <c r="D14" i="150"/>
  <c r="F6" i="148"/>
  <c r="J6" i="148"/>
  <c r="D7" i="148" s="1"/>
  <c r="O6" i="148"/>
  <c r="E7" i="148"/>
  <c r="O7" i="148"/>
  <c r="V8" i="148"/>
  <c r="V9" i="148"/>
  <c r="V10" i="148"/>
  <c r="V11" i="148"/>
  <c r="V12" i="148"/>
  <c r="N7" i="148"/>
  <c r="N6" i="148"/>
  <c r="F20" i="146"/>
  <c r="F19" i="146"/>
  <c r="F18" i="146"/>
  <c r="F9" i="146"/>
  <c r="G15" i="139"/>
  <c r="F15" i="139"/>
  <c r="E15" i="139"/>
  <c r="D15" i="139"/>
  <c r="G5" i="103"/>
  <c r="M16" i="138"/>
  <c r="M17" i="138"/>
  <c r="M18" i="138"/>
  <c r="M19" i="138"/>
  <c r="M20" i="138"/>
  <c r="M21" i="138"/>
  <c r="M22" i="138"/>
  <c r="J18" i="125"/>
  <c r="M20" i="40"/>
  <c r="M14" i="40"/>
  <c r="M8" i="40"/>
  <c r="J8" i="40"/>
  <c r="F10" i="40" s="1"/>
  <c r="G10" i="40" s="1"/>
  <c r="N11" i="121" l="1"/>
  <c r="M11" i="121"/>
  <c r="O8" i="121"/>
  <c r="N8" i="121"/>
  <c r="M9" i="121"/>
  <c r="N10" i="121"/>
  <c r="O7" i="121"/>
  <c r="M6" i="121"/>
  <c r="M10" i="121"/>
  <c r="N7" i="121"/>
  <c r="O6" i="121"/>
  <c r="O9" i="121"/>
  <c r="M5" i="139"/>
  <c r="M7" i="139"/>
  <c r="M9" i="139"/>
  <c r="M6" i="139"/>
  <c r="M8" i="139"/>
  <c r="S14" i="150"/>
  <c r="X14" i="150"/>
  <c r="R14" i="150"/>
  <c r="M14" i="150"/>
  <c r="T14" i="150"/>
  <c r="W14" i="150"/>
  <c r="V14" i="150"/>
  <c r="Q14" i="150"/>
  <c r="AA14" i="150"/>
  <c r="P14" i="150"/>
  <c r="K14" i="150"/>
  <c r="Z14" i="150"/>
  <c r="U14" i="150"/>
  <c r="J14" i="150"/>
  <c r="L14" i="150"/>
  <c r="O14" i="150"/>
  <c r="Y14" i="150"/>
  <c r="N14" i="150"/>
  <c r="I14" i="150"/>
  <c r="H14" i="150"/>
  <c r="E8" i="148"/>
  <c r="F7" i="148"/>
  <c r="L6" i="148"/>
  <c r="W5" i="129"/>
  <c r="V6" i="129"/>
  <c r="P6" i="129"/>
  <c r="J9" i="129"/>
  <c r="J10" i="129" s="1"/>
  <c r="J11" i="129" s="1"/>
  <c r="J12" i="129" s="1"/>
  <c r="J13" i="129" s="1"/>
  <c r="J14" i="129" s="1"/>
  <c r="F20" i="40"/>
  <c r="G20" i="40" s="1"/>
  <c r="F28" i="40"/>
  <c r="G28" i="40" s="1"/>
  <c r="F12" i="40"/>
  <c r="G12" i="40" s="1"/>
  <c r="F27" i="40"/>
  <c r="G27" i="40" s="1"/>
  <c r="F22" i="40"/>
  <c r="G22" i="40" s="1"/>
  <c r="F14" i="40"/>
  <c r="G14" i="40" s="1"/>
  <c r="F21" i="40"/>
  <c r="G21" i="40" s="1"/>
  <c r="F13" i="40"/>
  <c r="G13" i="40" s="1"/>
  <c r="F19" i="40"/>
  <c r="G19" i="40" s="1"/>
  <c r="F26" i="40"/>
  <c r="G26" i="40" s="1"/>
  <c r="F18" i="40"/>
  <c r="G18" i="40" s="1"/>
  <c r="F25" i="40"/>
  <c r="G25" i="40" s="1"/>
  <c r="F17" i="40"/>
  <c r="G17" i="40" s="1"/>
  <c r="F24" i="40"/>
  <c r="G24" i="40" s="1"/>
  <c r="F16" i="40"/>
  <c r="G16" i="40" s="1"/>
  <c r="F11" i="40"/>
  <c r="G11" i="40" s="1"/>
  <c r="F23" i="40"/>
  <c r="G23" i="40" s="1"/>
  <c r="F15" i="40"/>
  <c r="G15" i="40" s="1"/>
  <c r="N13" i="121" l="1"/>
  <c r="N15" i="121" s="1"/>
  <c r="O13" i="121"/>
  <c r="O15" i="121" s="1"/>
  <c r="M13" i="121"/>
  <c r="N9" i="139"/>
  <c r="O9" i="139" s="1" a="1"/>
  <c r="O9" i="139" s="1"/>
  <c r="N8" i="139"/>
  <c r="O8" i="139" s="1" a="1"/>
  <c r="O8" i="139" s="1"/>
  <c r="N6" i="139"/>
  <c r="O6" i="139" s="1" a="1"/>
  <c r="O6" i="139" s="1"/>
  <c r="N7" i="139"/>
  <c r="O7" i="139" s="1" a="1"/>
  <c r="O7" i="139" s="1"/>
  <c r="I18" i="150"/>
  <c r="Q18" i="150"/>
  <c r="Y18" i="150"/>
  <c r="J18" i="150"/>
  <c r="R18" i="150"/>
  <c r="Z18" i="150"/>
  <c r="K18" i="150"/>
  <c r="S18" i="150"/>
  <c r="AA18" i="150"/>
  <c r="L18" i="150"/>
  <c r="T18" i="150"/>
  <c r="M18" i="150"/>
  <c r="U18" i="150"/>
  <c r="N18" i="150"/>
  <c r="V18" i="150"/>
  <c r="O18" i="150"/>
  <c r="W18" i="150"/>
  <c r="P18" i="150"/>
  <c r="X18" i="150"/>
  <c r="H18" i="150"/>
  <c r="H7" i="148"/>
  <c r="I7" i="148" s="1"/>
  <c r="V7" i="129"/>
  <c r="W6" i="129"/>
  <c r="P7" i="129"/>
  <c r="Q6" i="129"/>
  <c r="J15" i="129"/>
  <c r="J16" i="129"/>
  <c r="G31" i="40"/>
  <c r="M18" i="121" l="1"/>
  <c r="M15" i="121"/>
  <c r="G17" i="139"/>
  <c r="J7" i="148"/>
  <c r="V8" i="129"/>
  <c r="W7" i="129"/>
  <c r="P8" i="129"/>
  <c r="Q7" i="129"/>
  <c r="M19" i="121" l="1"/>
  <c r="D8" i="148"/>
  <c r="F8" i="148" s="1"/>
  <c r="L7" i="148"/>
  <c r="W8" i="129"/>
  <c r="V9" i="129"/>
  <c r="Q8" i="129"/>
  <c r="P9" i="129"/>
  <c r="H8" i="148" l="1"/>
  <c r="I8" i="148" s="1"/>
  <c r="V10" i="129"/>
  <c r="W9" i="129"/>
  <c r="P10" i="129"/>
  <c r="Q9" i="129"/>
  <c r="J8" i="148" l="1"/>
  <c r="D9" i="148"/>
  <c r="L8" i="148"/>
  <c r="M8" i="148" s="1"/>
  <c r="V11" i="129"/>
  <c r="W10" i="129"/>
  <c r="P11" i="129"/>
  <c r="Q10" i="129"/>
  <c r="O8" i="148" l="1"/>
  <c r="N8" i="148"/>
  <c r="V12" i="129"/>
  <c r="W11" i="129"/>
  <c r="Q11" i="129"/>
  <c r="P12" i="129"/>
  <c r="K9" i="148" l="1"/>
  <c r="E9" i="148"/>
  <c r="F9" i="148" s="1"/>
  <c r="W12" i="129"/>
  <c r="V13" i="129"/>
  <c r="P13" i="129"/>
  <c r="Q12" i="129"/>
  <c r="H9" i="148" l="1"/>
  <c r="I9" i="148" s="1"/>
  <c r="V14" i="129"/>
  <c r="W13" i="129"/>
  <c r="V16" i="129"/>
  <c r="P14" i="129"/>
  <c r="Q14" i="129" s="1"/>
  <c r="Q18" i="129" s="1"/>
  <c r="Q13" i="129"/>
  <c r="P16" i="129"/>
  <c r="P15" i="129"/>
  <c r="J9" i="148" l="1"/>
  <c r="W14" i="129"/>
  <c r="W18" i="129" s="1"/>
  <c r="V15" i="129"/>
  <c r="D10" i="148" l="1"/>
  <c r="L9" i="148"/>
  <c r="M9" i="148" s="1"/>
  <c r="N9" i="148" l="1"/>
  <c r="O9" i="148"/>
  <c r="E10" i="148" l="1"/>
  <c r="F10" i="148" s="1"/>
  <c r="K10" i="148"/>
  <c r="H10" i="148" l="1"/>
  <c r="I10" i="148" s="1"/>
  <c r="J10" i="148" l="1"/>
  <c r="L10" i="148" l="1"/>
  <c r="M10" i="148" s="1"/>
  <c r="D11" i="148"/>
  <c r="O10" i="148" l="1"/>
  <c r="N10" i="148"/>
  <c r="K11" i="148" l="1"/>
  <c r="E11" i="148"/>
  <c r="F11" i="148" s="1"/>
  <c r="H11" i="148" l="1"/>
  <c r="I11" i="148" s="1"/>
  <c r="J11" i="148" l="1"/>
  <c r="L11" i="148" l="1"/>
  <c r="M11" i="148" s="1"/>
  <c r="D12" i="148"/>
  <c r="N11" i="148" l="1"/>
  <c r="O11" i="148"/>
  <c r="K12" i="148" l="1"/>
  <c r="E12" i="148"/>
  <c r="F12" i="148" s="1"/>
  <c r="H12" i="148" l="1"/>
  <c r="I12" i="148" s="1"/>
  <c r="J12" i="148"/>
  <c r="D13" i="148" l="1"/>
  <c r="L12" i="148"/>
  <c r="M12" i="148" s="1"/>
  <c r="N12" i="148" l="1"/>
  <c r="O12" i="148"/>
  <c r="K13" i="148" l="1"/>
  <c r="E13" i="148"/>
  <c r="F13" i="148" s="1"/>
  <c r="H13" i="148" l="1"/>
  <c r="I13" i="148" s="1"/>
  <c r="J13" i="148" l="1"/>
  <c r="D14" i="148" l="1"/>
  <c r="L13" i="148"/>
  <c r="M13" i="148" s="1"/>
  <c r="O13" i="148" l="1"/>
  <c r="N13" i="148"/>
  <c r="E14" i="148" l="1"/>
  <c r="F14" i="148" s="1"/>
  <c r="K14" i="148"/>
  <c r="H14" i="148" l="1"/>
  <c r="I14" i="148" s="1"/>
  <c r="J14" i="148" l="1"/>
  <c r="L14" i="148" l="1"/>
  <c r="M14" i="148" s="1"/>
  <c r="D15" i="148"/>
  <c r="N14" i="148" l="1"/>
  <c r="O14" i="148" s="1"/>
  <c r="K15" i="148" l="1"/>
  <c r="E15" i="148"/>
  <c r="F15" i="148" s="1"/>
  <c r="H15" i="148" l="1"/>
  <c r="I15" i="148" s="1"/>
  <c r="J15" i="148" l="1"/>
  <c r="D16" i="148" l="1"/>
  <c r="L15" i="148"/>
  <c r="M15" i="148" s="1"/>
  <c r="N15" i="148" l="1"/>
  <c r="O15" i="148"/>
  <c r="K16" i="148" l="1"/>
  <c r="E16" i="148"/>
  <c r="F16" i="148" s="1"/>
  <c r="H16" i="148" l="1"/>
  <c r="I16" i="148" s="1"/>
  <c r="J16" i="148"/>
  <c r="D17" i="148" l="1"/>
  <c r="L16" i="148"/>
  <c r="M16" i="148" s="1"/>
  <c r="N16" i="148" l="1"/>
  <c r="O16" i="148"/>
  <c r="K17" i="148" l="1"/>
  <c r="E17" i="148"/>
  <c r="F17" i="148" s="1"/>
  <c r="H17" i="148" l="1"/>
  <c r="I17" i="148" s="1"/>
  <c r="J17" i="148" l="1"/>
  <c r="D18" i="148" l="1"/>
  <c r="L17" i="148"/>
  <c r="M17" i="148" s="1"/>
  <c r="N17" i="148" l="1"/>
  <c r="O17" i="148"/>
  <c r="K18" i="148" l="1"/>
  <c r="E18" i="148"/>
  <c r="F18" i="148" s="1"/>
  <c r="H18" i="148" l="1"/>
  <c r="I18" i="148" s="1"/>
  <c r="J18" i="148"/>
  <c r="D19" i="148" l="1"/>
  <c r="L18" i="148"/>
  <c r="M18" i="148" s="1"/>
  <c r="N18" i="148" l="1"/>
  <c r="O18" i="148"/>
  <c r="E19" i="148" l="1"/>
  <c r="F19" i="148" s="1"/>
  <c r="K19" i="148"/>
  <c r="H19" i="148" l="1"/>
  <c r="I19" i="148" s="1"/>
  <c r="J19" i="148"/>
  <c r="L19" i="148" l="1"/>
  <c r="M19" i="148" s="1"/>
  <c r="D20" i="148"/>
  <c r="O19" i="148" l="1"/>
  <c r="N19" i="148"/>
  <c r="K20" i="148" l="1"/>
  <c r="E20" i="148"/>
  <c r="F20" i="148" s="1"/>
  <c r="H20" i="148" l="1"/>
  <c r="I20" i="148" s="1"/>
  <c r="J20" i="148"/>
  <c r="D21" i="148" l="1"/>
  <c r="L20" i="148"/>
  <c r="M20" i="148" s="1"/>
  <c r="O20" i="148" l="1"/>
  <c r="N20" i="148"/>
  <c r="E21" i="148" l="1"/>
  <c r="F21" i="148" s="1"/>
  <c r="K21" i="148"/>
  <c r="H21" i="148" l="1"/>
  <c r="I21" i="148" s="1"/>
  <c r="J21" i="148" l="1"/>
  <c r="L21" i="148" l="1"/>
  <c r="M21" i="148" s="1"/>
  <c r="D22" i="148"/>
  <c r="O21" i="148" l="1"/>
  <c r="N21" i="148"/>
  <c r="E22" i="148" l="1"/>
  <c r="F22" i="148" s="1"/>
  <c r="K22" i="148"/>
  <c r="H22" i="148" l="1"/>
  <c r="I22" i="148" s="1"/>
  <c r="J22" i="148"/>
  <c r="L22" i="148" l="1"/>
  <c r="M22" i="148" s="1"/>
  <c r="D23" i="148"/>
  <c r="O22" i="148" l="1"/>
  <c r="N22" i="148"/>
  <c r="K23" i="148" l="1"/>
  <c r="E23" i="148"/>
  <c r="F23" i="148" s="1"/>
  <c r="H23" i="148" l="1"/>
  <c r="I23" i="148" s="1"/>
  <c r="J23" i="148" l="1"/>
  <c r="D24" i="148" l="1"/>
  <c r="L23" i="148"/>
  <c r="M23" i="148" s="1"/>
  <c r="O23" i="148" l="1"/>
  <c r="N23" i="148"/>
  <c r="K24" i="148" l="1"/>
  <c r="E24" i="148"/>
  <c r="F24" i="148" s="1"/>
  <c r="H24" i="148" l="1"/>
  <c r="I24" i="148" s="1"/>
  <c r="J24" i="148" l="1"/>
  <c r="D25" i="148" l="1"/>
  <c r="L24" i="148"/>
  <c r="M24" i="148" s="1"/>
  <c r="N24" i="148" l="1"/>
  <c r="O24" i="148" s="1"/>
  <c r="K25" i="148" l="1"/>
  <c r="E25" i="148"/>
  <c r="F25" i="148" s="1"/>
  <c r="H25" i="148" l="1"/>
  <c r="I25" i="148" s="1"/>
  <c r="J25" i="148"/>
  <c r="L25" i="148" l="1"/>
  <c r="M25" i="148" s="1"/>
  <c r="D26" i="148"/>
  <c r="N25" i="148" l="1"/>
  <c r="O25" i="148"/>
  <c r="E26" i="148" l="1"/>
  <c r="F26" i="148" s="1"/>
  <c r="K26" i="148"/>
  <c r="H26" i="148" l="1"/>
  <c r="I26" i="148" s="1"/>
  <c r="J26" i="148"/>
  <c r="D27" i="148" l="1"/>
  <c r="L26" i="148"/>
  <c r="M26" i="148" s="1"/>
  <c r="N26" i="148" l="1"/>
  <c r="O26" i="148"/>
  <c r="K27" i="148" l="1"/>
  <c r="E27" i="148"/>
  <c r="F27" i="148" s="1"/>
  <c r="H27" i="148" l="1"/>
  <c r="I27" i="148" s="1"/>
  <c r="J27" i="148" l="1"/>
  <c r="L27" i="148" l="1"/>
  <c r="M27" i="148" s="1"/>
  <c r="D28" i="148"/>
  <c r="N27" i="148" l="1"/>
  <c r="O27" i="148" s="1"/>
  <c r="K28" i="148" l="1"/>
  <c r="E28" i="148"/>
  <c r="F28" i="148" s="1"/>
  <c r="H28" i="148" l="1"/>
  <c r="I28" i="148" s="1"/>
  <c r="J28" i="148"/>
  <c r="L28" i="148" l="1"/>
  <c r="M28" i="148" s="1"/>
  <c r="D29" i="148"/>
  <c r="N28" i="148" l="1"/>
  <c r="O28" i="148"/>
  <c r="K29" i="148" l="1"/>
  <c r="E29" i="148"/>
  <c r="F29" i="148" s="1"/>
  <c r="H29" i="148" l="1"/>
  <c r="I29" i="148" s="1"/>
  <c r="J29" i="148"/>
  <c r="D30" i="148" l="1"/>
  <c r="L29" i="148"/>
  <c r="M29" i="148" s="1"/>
  <c r="N29" i="148" l="1"/>
  <c r="O29" i="148" s="1"/>
  <c r="E30" i="148" l="1"/>
  <c r="F30" i="148" s="1"/>
  <c r="K30" i="148"/>
  <c r="H30" i="148" l="1"/>
  <c r="I30" i="148" s="1"/>
  <c r="J30" i="148"/>
  <c r="L30" i="148" l="1"/>
  <c r="M30" i="148" s="1"/>
  <c r="D31" i="148"/>
  <c r="O30" i="148" l="1"/>
  <c r="N30" i="148"/>
  <c r="K31" i="148" l="1"/>
  <c r="E31" i="148"/>
  <c r="F31" i="148" s="1"/>
  <c r="H31" i="148" l="1"/>
  <c r="I31" i="148" s="1"/>
  <c r="J31" i="148"/>
  <c r="D32" i="148" l="1"/>
  <c r="L31" i="148"/>
  <c r="M31" i="148" s="1"/>
  <c r="N31" i="148" l="1"/>
  <c r="O31" i="148"/>
  <c r="K32" i="148" l="1"/>
  <c r="E32" i="148"/>
  <c r="F32" i="148" s="1"/>
  <c r="H32" i="148" l="1"/>
  <c r="I32" i="148" s="1"/>
  <c r="J32" i="148"/>
  <c r="D33" i="148" l="1"/>
  <c r="L32" i="148"/>
  <c r="M32" i="148" s="1"/>
  <c r="O32" i="148" l="1"/>
  <c r="N32" i="148"/>
  <c r="K33" i="148" l="1"/>
  <c r="E33" i="148"/>
  <c r="F33" i="148" s="1"/>
  <c r="H33" i="148" l="1"/>
  <c r="I33" i="148" s="1"/>
  <c r="J33" i="148" l="1"/>
  <c r="L33" i="148" l="1"/>
  <c r="M33" i="148" s="1"/>
  <c r="D34" i="148"/>
  <c r="N33" i="148" l="1"/>
  <c r="O33" i="148"/>
  <c r="E34" i="148" l="1"/>
  <c r="F34" i="148" s="1"/>
  <c r="K34" i="148"/>
  <c r="H34" i="148" l="1"/>
  <c r="I34" i="148" s="1"/>
  <c r="J34" i="148" l="1"/>
  <c r="D35" i="148" l="1"/>
  <c r="L34" i="148"/>
  <c r="M34" i="148" s="1"/>
  <c r="N34" i="148" l="1"/>
  <c r="O34" i="148"/>
  <c r="K35" i="148" l="1"/>
  <c r="E35" i="148"/>
  <c r="F35" i="148" s="1"/>
  <c r="H35" i="148" l="1"/>
  <c r="I35" i="148" s="1"/>
  <c r="J35" i="148"/>
  <c r="L35" i="148" s="1"/>
  <c r="M35" i="148" s="1"/>
  <c r="N35" i="148" l="1"/>
  <c r="O35" i="1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<sst xmlns="http://schemas.openxmlformats.org/spreadsheetml/2006/main" count="485" uniqueCount="257">
  <si>
    <t>Year</t>
  </si>
  <si>
    <t>Period</t>
  </si>
  <si>
    <t>Usage</t>
  </si>
  <si>
    <t>Forecast (WMA)</t>
  </si>
  <si>
    <t>Absolute % error</t>
  </si>
  <si>
    <t>Weight</t>
  </si>
  <si>
    <t>Option 1</t>
  </si>
  <si>
    <t>Jan</t>
  </si>
  <si>
    <t>t-1</t>
  </si>
  <si>
    <t>Feb</t>
  </si>
  <si>
    <t>t-3</t>
  </si>
  <si>
    <t>Mar</t>
  </si>
  <si>
    <t>t-5</t>
  </si>
  <si>
    <t>Apr</t>
  </si>
  <si>
    <t>Sum of weights</t>
  </si>
  <si>
    <t>Sum</t>
  </si>
  <si>
    <t>May</t>
  </si>
  <si>
    <t>Jun</t>
  </si>
  <si>
    <t>Option 2</t>
  </si>
  <si>
    <t>Jul</t>
  </si>
  <si>
    <t>Aug</t>
  </si>
  <si>
    <t>Sep</t>
  </si>
  <si>
    <t>Oct</t>
  </si>
  <si>
    <t>Nov</t>
  </si>
  <si>
    <t>Dec</t>
  </si>
  <si>
    <t>Option 3</t>
  </si>
  <si>
    <t>MAPE (mean absolute percentage error)</t>
  </si>
  <si>
    <t>Month</t>
  </si>
  <si>
    <t>numbered</t>
  </si>
  <si>
    <t>t</t>
  </si>
  <si>
    <t>Demand</t>
  </si>
  <si>
    <t>CMA(k)</t>
  </si>
  <si>
    <t>Seasonal ratio</t>
  </si>
  <si>
    <t>Seasonal index</t>
  </si>
  <si>
    <t>Unseasoned value</t>
  </si>
  <si>
    <t>Trendbased forecast</t>
  </si>
  <si>
    <t>Units</t>
  </si>
  <si>
    <t>Price</t>
  </si>
  <si>
    <t>Alternative</t>
  </si>
  <si>
    <t>Total number</t>
  </si>
  <si>
    <t>Total costs</t>
  </si>
  <si>
    <t>in pieces</t>
  </si>
  <si>
    <t>in CHF</t>
  </si>
  <si>
    <t>order</t>
  </si>
  <si>
    <t>of orders</t>
  </si>
  <si>
    <t>for 1-4</t>
  </si>
  <si>
    <t>for 5-9</t>
  </si>
  <si>
    <t>for 10-19</t>
  </si>
  <si>
    <t>for 20 or more</t>
  </si>
  <si>
    <t>1 - 4</t>
  </si>
  <si>
    <t>quantities</t>
  </si>
  <si>
    <t>per year</t>
  </si>
  <si>
    <t>units</t>
  </si>
  <si>
    <t>5 - 9</t>
  </si>
  <si>
    <t>10 - 19</t>
  </si>
  <si>
    <t>20 or more</t>
  </si>
  <si>
    <t>Annual demand</t>
  </si>
  <si>
    <t>Order costs per order</t>
  </si>
  <si>
    <t>CHF</t>
  </si>
  <si>
    <t>Holding costs per unit and year</t>
  </si>
  <si>
    <t>CHF per unit and year</t>
  </si>
  <si>
    <t>Optimal order quantity (considering discounts)</t>
  </si>
  <si>
    <t>Demand per working day</t>
  </si>
  <si>
    <t>Working days per year</t>
  </si>
  <si>
    <t>days</t>
  </si>
  <si>
    <t>Inventory costs per unit and year</t>
  </si>
  <si>
    <t>Lead time</t>
  </si>
  <si>
    <t>weeks</t>
  </si>
  <si>
    <t>Stockout costs per stockout</t>
  </si>
  <si>
    <t>Optimum order quantity</t>
  </si>
  <si>
    <t>Number of orders per year</t>
  </si>
  <si>
    <t>orders</t>
  </si>
  <si>
    <t>Possible ROP</t>
  </si>
  <si>
    <t>Possible demand during lead time</t>
  </si>
  <si>
    <t>Average additional</t>
  </si>
  <si>
    <t>incl. safety stock</t>
  </si>
  <si>
    <t>costs in CHF</t>
  </si>
  <si>
    <t>Average demand during lead time in units</t>
  </si>
  <si>
    <t>Standard deviation of demand during lead time in units</t>
  </si>
  <si>
    <t>Holding costs per unit and lead time</t>
  </si>
  <si>
    <t>Service</t>
  </si>
  <si>
    <t>Optimal</t>
  </si>
  <si>
    <t>level</t>
  </si>
  <si>
    <t>order quantity</t>
  </si>
  <si>
    <t>Safety stock</t>
  </si>
  <si>
    <t>Holding costs</t>
  </si>
  <si>
    <t>Increase of the holding costs (when increasing Service Levels from 99% to 99.9%)</t>
  </si>
  <si>
    <t>In CHF:</t>
  </si>
  <si>
    <t>Level</t>
  </si>
  <si>
    <t>Multi-level BOM list for one food processor XFG-24 consisting of 4 components</t>
  </si>
  <si>
    <t>Part</t>
  </si>
  <si>
    <t>Level quantity (parts per level)</t>
  </si>
  <si>
    <t>Total quantity</t>
  </si>
  <si>
    <t>Price per unit</t>
  </si>
  <si>
    <t>Costs (for total quantity)</t>
  </si>
  <si>
    <t>XSW-23</t>
  </si>
  <si>
    <t>ABH-593</t>
  </si>
  <si>
    <t>DLS-422</t>
  </si>
  <si>
    <t>DIF-039</t>
  </si>
  <si>
    <t>FJK-922</t>
  </si>
  <si>
    <t>FJS-372</t>
  </si>
  <si>
    <t>FUI-111</t>
  </si>
  <si>
    <t>GIU-302</t>
  </si>
  <si>
    <t>WOL-320</t>
  </si>
  <si>
    <t>QLJ-289</t>
  </si>
  <si>
    <t>PIO-493</t>
  </si>
  <si>
    <t>VBO-283</t>
  </si>
  <si>
    <t>Order book</t>
  </si>
  <si>
    <t>First Come First Serve Priority Rule (FCFS)</t>
  </si>
  <si>
    <t>Shortest Processing Time Priority Rule (SPT)</t>
  </si>
  <si>
    <t>Earliest Due Date Priority Rule (EDD)</t>
  </si>
  <si>
    <t>Job</t>
  </si>
  <si>
    <t>Processing time</t>
  </si>
  <si>
    <t>Due date</t>
  </si>
  <si>
    <t>Completion time</t>
  </si>
  <si>
    <t>Tardiness</t>
  </si>
  <si>
    <t>Average completion time</t>
  </si>
  <si>
    <t>Max. tardiness</t>
  </si>
  <si>
    <t>Number of delayed jobs</t>
  </si>
  <si>
    <t>Transportation costs (per unit)</t>
  </si>
  <si>
    <t>To</t>
  </si>
  <si>
    <t>From</t>
  </si>
  <si>
    <t>St.Gallen</t>
  </si>
  <si>
    <t>Zürich</t>
  </si>
  <si>
    <t>Bad Ragaz</t>
  </si>
  <si>
    <t>Bern</t>
  </si>
  <si>
    <t>Luzern</t>
  </si>
  <si>
    <t>-</t>
  </si>
  <si>
    <t>Aarau</t>
  </si>
  <si>
    <t>Amriswil</t>
  </si>
  <si>
    <t>Uzwil</t>
  </si>
  <si>
    <r>
      <t xml:space="preserve">Note: </t>
    </r>
    <r>
      <rPr>
        <sz val="11"/>
        <rFont val="Calibri"/>
        <family val="2"/>
        <scheme val="minor"/>
      </rPr>
      <t>Paths denoted with "-" are not possible!</t>
    </r>
  </si>
  <si>
    <t>Solution with minimal total transportation costs</t>
  </si>
  <si>
    <t>Transports</t>
  </si>
  <si>
    <t>Flow balance equations</t>
  </si>
  <si>
    <t>Flow Out</t>
  </si>
  <si>
    <t>Location</t>
  </si>
  <si>
    <t>Flow In</t>
  </si>
  <si>
    <t>Net Flow</t>
  </si>
  <si>
    <t xml:space="preserve"> =</t>
  </si>
  <si>
    <t>=</t>
  </si>
  <si>
    <t>Costs</t>
  </si>
  <si>
    <t>LHS</t>
  </si>
  <si>
    <t>Sign</t>
  </si>
  <si>
    <t>RHS</t>
  </si>
  <si>
    <t>Information</t>
  </si>
  <si>
    <t>LT - Lead time</t>
  </si>
  <si>
    <t>c - Product costs</t>
  </si>
  <si>
    <t>CHF/unit</t>
  </si>
  <si>
    <t>p - Penalty costs (out of stock costs)</t>
  </si>
  <si>
    <t>CHF/unit/week</t>
  </si>
  <si>
    <t>% - Holding costs rate</t>
  </si>
  <si>
    <t>/unit/week</t>
  </si>
  <si>
    <t>h - Holding costs (c*%)</t>
  </si>
  <si>
    <t>CR - Critical ratio (out of stock ratio)</t>
  </si>
  <si>
    <t>z* - z-value of the critical ratio</t>
  </si>
  <si>
    <t>f01 (z*)</t>
  </si>
  <si>
    <t>Without postponement</t>
  </si>
  <si>
    <t>μ</t>
  </si>
  <si>
    <t>σ</t>
  </si>
  <si>
    <t>CV</t>
  </si>
  <si>
    <t>Optimum target inventory level S*</t>
  </si>
  <si>
    <t>Costs Z*</t>
  </si>
  <si>
    <r>
      <t xml:space="preserve">S* =  </t>
    </r>
    <r>
      <rPr>
        <b/>
        <sz val="11"/>
        <rFont val="Symbol"/>
        <family val="1"/>
        <charset val="2"/>
      </rPr>
      <t>m</t>
    </r>
    <r>
      <rPr>
        <b/>
        <vertAlign val="subscript"/>
        <sz val="11"/>
        <rFont val="Calibri"/>
        <family val="2"/>
        <scheme val="minor"/>
      </rPr>
      <t>LT+1</t>
    </r>
    <r>
      <rPr>
        <b/>
        <sz val="11"/>
        <rFont val="Calibri"/>
        <family val="2"/>
        <scheme val="minor"/>
      </rPr>
      <t xml:space="preserve"> + z* </t>
    </r>
    <r>
      <rPr>
        <b/>
        <sz val="11"/>
        <rFont val="Symbol"/>
        <family val="1"/>
        <charset val="2"/>
      </rPr>
      <t>s</t>
    </r>
    <r>
      <rPr>
        <b/>
        <vertAlign val="subscript"/>
        <sz val="11"/>
        <rFont val="Calibri"/>
        <family val="2"/>
        <scheme val="minor"/>
      </rPr>
      <t>LT+1</t>
    </r>
  </si>
  <si>
    <r>
      <t>Z* = (</t>
    </r>
    <r>
      <rPr>
        <b/>
        <i/>
        <sz val="11"/>
        <rFont val="Calibri"/>
        <family val="2"/>
        <scheme val="minor"/>
      </rPr>
      <t>h</t>
    </r>
    <r>
      <rPr>
        <b/>
        <sz val="11"/>
        <rFont val="Calibri"/>
        <family val="2"/>
        <scheme val="minor"/>
      </rPr>
      <t xml:space="preserve"> + </t>
    </r>
    <r>
      <rPr>
        <b/>
        <i/>
        <sz val="11"/>
        <rFont val="Calibri"/>
        <family val="2"/>
        <scheme val="minor"/>
      </rPr>
      <t>p</t>
    </r>
    <r>
      <rPr>
        <b/>
        <sz val="11"/>
        <rFont val="Calibri"/>
        <family val="2"/>
        <scheme val="minor"/>
      </rPr>
      <t>)f</t>
    </r>
    <r>
      <rPr>
        <b/>
        <vertAlign val="subscript"/>
        <sz val="11"/>
        <rFont val="Calibri"/>
        <family val="2"/>
        <scheme val="minor"/>
      </rPr>
      <t>01</t>
    </r>
    <r>
      <rPr>
        <b/>
        <sz val="11"/>
        <rFont val="Calibri"/>
        <family val="2"/>
        <scheme val="minor"/>
      </rPr>
      <t>(z*)</t>
    </r>
    <r>
      <rPr>
        <b/>
        <sz val="11"/>
        <rFont val="Symbol"/>
        <family val="1"/>
        <charset val="2"/>
      </rPr>
      <t>s</t>
    </r>
    <r>
      <rPr>
        <b/>
        <vertAlign val="subscript"/>
        <sz val="11"/>
        <rFont val="Calibri"/>
        <family val="2"/>
        <scheme val="minor"/>
      </rPr>
      <t>LT+1</t>
    </r>
  </si>
  <si>
    <t>Country</t>
  </si>
  <si>
    <t>units/week</t>
  </si>
  <si>
    <t xml:space="preserve">- </t>
  </si>
  <si>
    <t>CHF/week</t>
  </si>
  <si>
    <t>Switzerland</t>
  </si>
  <si>
    <t>Germany</t>
  </si>
  <si>
    <t>Austria</t>
  </si>
  <si>
    <t>With postponement</t>
  </si>
  <si>
    <t>Advantage postponement</t>
  </si>
  <si>
    <t>in CHF/week</t>
  </si>
  <si>
    <t>Day</t>
  </si>
  <si>
    <t>Begin inventory</t>
  </si>
  <si>
    <t>Units received</t>
  </si>
  <si>
    <t>Available inventory</t>
  </si>
  <si>
    <t>Demand filled</t>
  </si>
  <si>
    <t>Stockout</t>
  </si>
  <si>
    <t>End inventory</t>
  </si>
  <si>
    <t>Units ordered</t>
  </si>
  <si>
    <t>End inventory + order</t>
  </si>
  <si>
    <t>Place order?</t>
  </si>
  <si>
    <t>Arrive on day</t>
  </si>
  <si>
    <t>Inventory cost</t>
  </si>
  <si>
    <t>Stockout cost</t>
  </si>
  <si>
    <t>Order
cost</t>
  </si>
  <si>
    <t>Probability</t>
  </si>
  <si>
    <t>Interval</t>
  </si>
  <si>
    <t>Order quantity, Q</t>
  </si>
  <si>
    <t>Reorder point, R (ROP)</t>
  </si>
  <si>
    <t xml:space="preserve">Min. Lead time </t>
  </si>
  <si>
    <t>Max. Lead time</t>
  </si>
  <si>
    <t>per unit and day</t>
  </si>
  <si>
    <t>per unit</t>
  </si>
  <si>
    <t>Order cost</t>
  </si>
  <si>
    <t>per order</t>
  </si>
  <si>
    <t>Total =</t>
  </si>
  <si>
    <t>Total monthly costs =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</si>
  <si>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</si>
  <si>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</si>
  <si>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</si>
  <si>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</si>
  <si>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</si>
  <si>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</si>
  <si>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</si>
  <si>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</si>
  <si>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</si>
  <si>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</si>
  <si>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</si>
  <si>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</si>
  <si>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</si>
  <si>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</si>
  <si>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</si>
  <si>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</si>
  <si>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</si>
  <si>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</si>
  <si>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</si>
  <si>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</si>
  <si>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Average</t>
  </si>
  <si>
    <t>Sorted</t>
  </si>
  <si>
    <t>Results of the survey</t>
  </si>
  <si>
    <t>Number of respondents:</t>
  </si>
  <si>
    <t xml:space="preserve">Percentage of potential customers surveyed: </t>
  </si>
  <si>
    <t>Test Person ID</t>
  </si>
  <si>
    <t>Price (CHF)</t>
  </si>
  <si>
    <t>Sample demand at this price point</t>
  </si>
  <si>
    <t>Market demand at this price point</t>
  </si>
  <si>
    <t>Revenue</t>
  </si>
  <si>
    <t>Willingness to pay (WTP) in CHF</t>
  </si>
  <si>
    <t>Consumer surplus (CS)</t>
  </si>
  <si>
    <t>Customer</t>
  </si>
  <si>
    <t>Food</t>
  </si>
  <si>
    <t>Drinks</t>
  </si>
  <si>
    <t>Disposable cutlery</t>
  </si>
  <si>
    <t>Bundle</t>
  </si>
  <si>
    <t>CS Food</t>
  </si>
  <si>
    <t>CS Drinks</t>
  </si>
  <si>
    <t>CS Disposable cutlery</t>
  </si>
  <si>
    <t>CS Bundle</t>
  </si>
  <si>
    <t>Max CS</t>
  </si>
  <si>
    <t>Option</t>
  </si>
  <si>
    <t>Profit</t>
  </si>
  <si>
    <t>Possible prices:</t>
  </si>
  <si>
    <t>Total profit</t>
  </si>
  <si>
    <t>Monthly</t>
  </si>
  <si>
    <t>visits</t>
  </si>
  <si>
    <t>Segment 1</t>
  </si>
  <si>
    <t>Segment 2</t>
  </si>
  <si>
    <t>Segment 3</t>
  </si>
  <si>
    <t>Total</t>
  </si>
  <si>
    <t>Fix price</t>
  </si>
  <si>
    <t>Variable price</t>
  </si>
  <si>
    <t>Visits</t>
  </si>
  <si>
    <t>Unit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</si>
</sst>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 &quot;CHF&quot;\ * #,##0.00_ ;_ &quot;CHF&quot;\ * \-#,##0.00_ ;_ &quot;CHF&quot;\ * &quot;-&quot;??_ ;_ @_ "/>
    <numFmt numFmtId="165" formatCode="_ * #,##0.00_ ;_ * \-#,##0.00_ ;_ * &quot;-&quot;??_ ;_ @_ "/>
    <numFmt numFmtId="166" formatCode="&quot;$&quot;#,##0_);[Red]\(&quot;$&quot;#,##0\)"/>
    <numFmt numFmtId="167" formatCode="0.0"/>
    <numFmt numFmtId="168" formatCode="#,##0.0"/>
    <numFmt numFmtId="169" formatCode="0.0000"/>
    <numFmt numFmtId="170" formatCode="_ * #,##0_ ;_ * \-#,##0_ ;_ * &quot;-&quot;??_ ;_ @_ "/>
    <numFmt numFmtId="171" formatCode="_-* #,##0\ _C_H_F_-;\-* #,##0\ _C_H_F_-;_-* &quot;-&quot;??\ _C_H_F_-;_-@_-"/>
    <numFmt numFmtId="172" formatCode="&quot;$&quot;#,##0.00"/>
    <numFmt numFmtId="173" formatCode="&quot;$&quot;#,##0"/>
    <numFmt numFmtId="174" formatCode="_ * #,##0.0_ ;_ * \-#,##0.0_ ;_ * &quot;-&quot;??_ ;_ @_ "/>
    <numFmt numFmtId="175" formatCode="0.000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rgb="FF99336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7" tint="-0.249977111117893"/>
      <name val="Calibri"/>
      <family val="2"/>
      <scheme val="minor"/>
    </font>
    <font>
      <b/>
      <sz val="12"/>
      <color theme="7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3"/>
      <name val="Calibri"/>
      <family val="2"/>
      <scheme val="minor"/>
    </font>
    <font>
      <b/>
      <sz val="1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Symbol"/>
      <family val="1"/>
      <charset val="2"/>
    </font>
    <font>
      <b/>
      <vertAlign val="subscript"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  <font>
      <b/>
      <sz val="11"/>
      <name val="Arial"/>
      <family val="2"/>
    </font>
    <font>
      <sz val="11"/>
      <color theme="4" tint="-0.49998474074526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EB9B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9"/>
      </patternFill>
    </fill>
  </fills>
  <borders count="6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15" fillId="0" borderId="0"/>
    <xf numFmtId="9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2" fillId="8" borderId="0" applyNumberFormat="0" applyBorder="0" applyAlignment="0" applyProtection="0"/>
    <xf numFmtId="0" fontId="23" fillId="7" borderId="0" applyNumberFormat="0" applyBorder="0" applyAlignment="0" applyProtection="0"/>
    <xf numFmtId="0" fontId="28" fillId="0" borderId="0"/>
  </cellStyleXfs>
  <cellXfs count="466">
    <xf numFmtId="0" fontId="0" fillId="0" borderId="0" xfId="0"/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/>
    </xf>
    <xf numFmtId="167" fontId="4" fillId="0" borderId="0" xfId="0" applyNumberFormat="1" applyFont="1" applyAlignment="1">
      <alignment horizontal="center"/>
    </xf>
    <xf numFmtId="167" fontId="4" fillId="0" borderId="0" xfId="0" applyNumberFormat="1" applyFont="1"/>
    <xf numFmtId="1" fontId="4" fillId="0" borderId="0" xfId="0" applyNumberFormat="1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center"/>
    </xf>
    <xf numFmtId="2" fontId="6" fillId="2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" fontId="4" fillId="2" borderId="0" xfId="0" applyNumberFormat="1" applyFont="1" applyFill="1" applyAlignment="1">
      <alignment horizontal="center"/>
    </xf>
    <xf numFmtId="167" fontId="4" fillId="2" borderId="0" xfId="0" applyNumberFormat="1" applyFont="1" applyFill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2" fontId="4" fillId="5" borderId="0" xfId="0" applyNumberFormat="1" applyFont="1" applyFill="1" applyAlignment="1">
      <alignment horizontal="center"/>
    </xf>
    <xf numFmtId="0" fontId="9" fillId="2" borderId="0" xfId="0" applyFont="1" applyFill="1"/>
    <xf numFmtId="0" fontId="3" fillId="2" borderId="0" xfId="0" applyFont="1" applyFill="1"/>
    <xf numFmtId="3" fontId="0" fillId="0" borderId="0" xfId="0" applyNumberFormat="1" applyAlignment="1">
      <alignment horizontal="center"/>
    </xf>
    <xf numFmtId="0" fontId="2" fillId="0" borderId="0" xfId="0" applyFont="1"/>
    <xf numFmtId="3" fontId="0" fillId="2" borderId="0" xfId="0" applyNumberFormat="1" applyFill="1" applyAlignment="1">
      <alignment horizontal="center"/>
    </xf>
    <xf numFmtId="9" fontId="0" fillId="2" borderId="0" xfId="0" applyNumberFormat="1" applyFill="1" applyAlignment="1">
      <alignment horizontal="center"/>
    </xf>
    <xf numFmtId="9" fontId="4" fillId="2" borderId="0" xfId="0" applyNumberFormat="1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4" fillId="0" borderId="3" xfId="0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" fillId="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1" fillId="0" borderId="0" xfId="0" applyFont="1"/>
    <xf numFmtId="0" fontId="4" fillId="2" borderId="0" xfId="0" applyFont="1" applyFill="1" applyAlignment="1">
      <alignment horizontal="center" vertical="center"/>
    </xf>
    <xf numFmtId="0" fontId="1" fillId="2" borderId="30" xfId="0" applyFont="1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168" fontId="4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4" fillId="5" borderId="0" xfId="0" applyNumberFormat="1" applyFont="1" applyFill="1" applyAlignment="1">
      <alignment horizontal="center"/>
    </xf>
    <xf numFmtId="0" fontId="8" fillId="2" borderId="30" xfId="0" applyFont="1" applyFill="1" applyBorder="1" applyAlignment="1">
      <alignment horizontal="center" wrapText="1"/>
    </xf>
    <xf numFmtId="0" fontId="4" fillId="2" borderId="0" xfId="1" applyNumberFormat="1" applyFont="1" applyFill="1" applyAlignment="1">
      <alignment horizontal="right"/>
    </xf>
    <xf numFmtId="0" fontId="3" fillId="2" borderId="2" xfId="1" applyNumberFormat="1" applyFont="1" applyFill="1" applyBorder="1" applyAlignment="1">
      <alignment horizontal="left"/>
    </xf>
    <xf numFmtId="1" fontId="4" fillId="2" borderId="3" xfId="0" applyNumberFormat="1" applyFont="1" applyFill="1" applyBorder="1" applyAlignment="1">
      <alignment horizontal="center"/>
    </xf>
    <xf numFmtId="1" fontId="4" fillId="2" borderId="9" xfId="0" applyNumberFormat="1" applyFont="1" applyFill="1" applyBorder="1" applyAlignment="1">
      <alignment horizontal="center"/>
    </xf>
    <xf numFmtId="1" fontId="4" fillId="3" borderId="0" xfId="0" applyNumberFormat="1" applyFont="1" applyFill="1" applyAlignment="1">
      <alignment horizontal="center"/>
    </xf>
    <xf numFmtId="2" fontId="4" fillId="2" borderId="0" xfId="0" applyNumberFormat="1" applyFont="1" applyFill="1" applyAlignment="1">
      <alignment horizontal="center"/>
    </xf>
    <xf numFmtId="0" fontId="9" fillId="0" borderId="0" xfId="2" applyFont="1"/>
    <xf numFmtId="0" fontId="4" fillId="0" borderId="0" xfId="2" applyFont="1" applyAlignment="1">
      <alignment horizontal="center"/>
    </xf>
    <xf numFmtId="0" fontId="4" fillId="0" borderId="0" xfId="2" applyFont="1"/>
    <xf numFmtId="0" fontId="4" fillId="2" borderId="44" xfId="2" applyFont="1" applyFill="1" applyBorder="1" applyAlignment="1">
      <alignment horizontal="center"/>
    </xf>
    <xf numFmtId="0" fontId="4" fillId="2" borderId="32" xfId="2" applyFont="1" applyFill="1" applyBorder="1" applyAlignment="1">
      <alignment horizontal="center"/>
    </xf>
    <xf numFmtId="0" fontId="4" fillId="2" borderId="43" xfId="2" applyFont="1" applyFill="1" applyBorder="1" applyAlignment="1">
      <alignment horizontal="center"/>
    </xf>
    <xf numFmtId="0" fontId="4" fillId="2" borderId="42" xfId="2" applyFont="1" applyFill="1" applyBorder="1" applyAlignment="1">
      <alignment horizontal="center"/>
    </xf>
    <xf numFmtId="0" fontId="4" fillId="2" borderId="34" xfId="2" applyFont="1" applyFill="1" applyBorder="1" applyAlignment="1">
      <alignment horizontal="center"/>
    </xf>
    <xf numFmtId="0" fontId="4" fillId="2" borderId="38" xfId="2" applyFont="1" applyFill="1" applyBorder="1" applyAlignment="1">
      <alignment horizontal="center"/>
    </xf>
    <xf numFmtId="0" fontId="4" fillId="5" borderId="34" xfId="2" applyFont="1" applyFill="1" applyBorder="1" applyAlignment="1">
      <alignment horizontal="center"/>
    </xf>
    <xf numFmtId="0" fontId="4" fillId="5" borderId="16" xfId="2" applyFont="1" applyFill="1" applyBorder="1" applyAlignment="1">
      <alignment horizontal="center"/>
    </xf>
    <xf numFmtId="0" fontId="4" fillId="2" borderId="46" xfId="2" applyFont="1" applyFill="1" applyBorder="1" applyAlignment="1">
      <alignment horizontal="center"/>
    </xf>
    <xf numFmtId="0" fontId="4" fillId="2" borderId="41" xfId="2" applyFont="1" applyFill="1" applyBorder="1" applyAlignment="1">
      <alignment horizontal="center"/>
    </xf>
    <xf numFmtId="0" fontId="3" fillId="2" borderId="15" xfId="2" applyFont="1" applyFill="1" applyBorder="1"/>
    <xf numFmtId="0" fontId="4" fillId="2" borderId="0" xfId="2" applyFont="1" applyFill="1" applyAlignment="1">
      <alignment horizontal="center"/>
    </xf>
    <xf numFmtId="0" fontId="4" fillId="2" borderId="5" xfId="2" applyFont="1" applyFill="1" applyBorder="1" applyAlignment="1">
      <alignment horizontal="center"/>
    </xf>
    <xf numFmtId="0" fontId="4" fillId="5" borderId="38" xfId="2" applyFont="1" applyFill="1" applyBorder="1" applyAlignment="1">
      <alignment horizontal="center"/>
    </xf>
    <xf numFmtId="0" fontId="4" fillId="2" borderId="14" xfId="2" applyFont="1" applyFill="1" applyBorder="1" applyAlignment="1">
      <alignment horizontal="center"/>
    </xf>
    <xf numFmtId="0" fontId="4" fillId="2" borderId="24" xfId="2" applyFont="1" applyFill="1" applyBorder="1" applyAlignment="1">
      <alignment horizontal="center"/>
    </xf>
    <xf numFmtId="0" fontId="4" fillId="3" borderId="39" xfId="2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7" fontId="4" fillId="2" borderId="4" xfId="0" applyNumberFormat="1" applyFont="1" applyFill="1" applyBorder="1"/>
    <xf numFmtId="0" fontId="0" fillId="5" borderId="0" xfId="0" applyFill="1" applyAlignment="1">
      <alignment horizontal="center"/>
    </xf>
    <xf numFmtId="0" fontId="4" fillId="5" borderId="0" xfId="1" applyNumberFormat="1" applyFont="1" applyFill="1"/>
    <xf numFmtId="0" fontId="4" fillId="5" borderId="0" xfId="0" applyFont="1" applyFill="1" applyAlignment="1">
      <alignment horizontal="center"/>
    </xf>
    <xf numFmtId="167" fontId="4" fillId="5" borderId="0" xfId="0" applyNumberFormat="1" applyFont="1" applyFill="1" applyAlignment="1">
      <alignment horizontal="center"/>
    </xf>
    <xf numFmtId="2" fontId="4" fillId="5" borderId="0" xfId="1" applyNumberFormat="1" applyFont="1" applyFill="1" applyAlignment="1">
      <alignment horizontal="center"/>
    </xf>
    <xf numFmtId="0" fontId="2" fillId="2" borderId="0" xfId="0" applyFont="1" applyFill="1"/>
    <xf numFmtId="0" fontId="0" fillId="2" borderId="1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4" fillId="2" borderId="0" xfId="2" applyFont="1" applyFill="1"/>
    <xf numFmtId="0" fontId="3" fillId="2" borderId="0" xfId="2" applyFont="1" applyFill="1"/>
    <xf numFmtId="0" fontId="3" fillId="6" borderId="15" xfId="0" applyFont="1" applyFill="1" applyBorder="1"/>
    <xf numFmtId="0" fontId="4" fillId="6" borderId="0" xfId="0" applyFont="1" applyFill="1" applyAlignment="1">
      <alignment horizontal="center"/>
    </xf>
    <xf numFmtId="0" fontId="3" fillId="6" borderId="13" xfId="0" applyFont="1" applyFill="1" applyBorder="1"/>
    <xf numFmtId="0" fontId="4" fillId="6" borderId="14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17" fillId="2" borderId="0" xfId="0" applyFont="1" applyFill="1"/>
    <xf numFmtId="0" fontId="17" fillId="2" borderId="0" xfId="0" applyFont="1" applyFill="1" applyAlignment="1">
      <alignment horizontal="center"/>
    </xf>
    <xf numFmtId="0" fontId="17" fillId="2" borderId="16" xfId="0" applyFont="1" applyFill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7" fillId="2" borderId="35" xfId="0" applyFont="1" applyFill="1" applyBorder="1" applyAlignment="1">
      <alignment horizontal="center"/>
    </xf>
    <xf numFmtId="0" fontId="17" fillId="2" borderId="14" xfId="0" applyFont="1" applyFill="1" applyBorder="1"/>
    <xf numFmtId="0" fontId="17" fillId="2" borderId="17" xfId="0" applyFont="1" applyFill="1" applyBorder="1"/>
    <xf numFmtId="0" fontId="17" fillId="2" borderId="14" xfId="0" applyFont="1" applyFill="1" applyBorder="1" applyAlignment="1">
      <alignment horizontal="center"/>
    </xf>
    <xf numFmtId="0" fontId="17" fillId="2" borderId="17" xfId="0" applyFont="1" applyFill="1" applyBorder="1" applyAlignment="1">
      <alignment horizontal="center"/>
    </xf>
    <xf numFmtId="0" fontId="16" fillId="2" borderId="0" xfId="0" applyFont="1" applyFill="1"/>
    <xf numFmtId="0" fontId="4" fillId="2" borderId="10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2" borderId="42" xfId="0" applyFont="1" applyFill="1" applyBorder="1" applyAlignment="1">
      <alignment horizontal="left" vertical="center"/>
    </xf>
    <xf numFmtId="0" fontId="4" fillId="2" borderId="46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/>
    </xf>
    <xf numFmtId="0" fontId="4" fillId="2" borderId="18" xfId="0" applyFont="1" applyFill="1" applyBorder="1" applyAlignment="1">
      <alignment horizontal="center"/>
    </xf>
    <xf numFmtId="0" fontId="17" fillId="2" borderId="18" xfId="0" applyFont="1" applyFill="1" applyBorder="1" applyAlignment="1">
      <alignment horizontal="center"/>
    </xf>
    <xf numFmtId="0" fontId="17" fillId="2" borderId="37" xfId="0" applyFont="1" applyFill="1" applyBorder="1" applyAlignment="1">
      <alignment horizontal="center"/>
    </xf>
    <xf numFmtId="0" fontId="17" fillId="5" borderId="16" xfId="0" applyFont="1" applyFill="1" applyBorder="1"/>
    <xf numFmtId="0" fontId="17" fillId="5" borderId="14" xfId="0" applyFont="1" applyFill="1" applyBorder="1"/>
    <xf numFmtId="0" fontId="17" fillId="2" borderId="13" xfId="0" applyFont="1" applyFill="1" applyBorder="1" applyAlignment="1">
      <alignment horizontal="left"/>
    </xf>
    <xf numFmtId="0" fontId="17" fillId="2" borderId="0" xfId="0" applyFont="1" applyFill="1" applyAlignment="1">
      <alignment horizontal="left"/>
    </xf>
    <xf numFmtId="0" fontId="4" fillId="2" borderId="13" xfId="0" applyFont="1" applyFill="1" applyBorder="1" applyAlignment="1">
      <alignment horizontal="left" vertical="center"/>
    </xf>
    <xf numFmtId="0" fontId="17" fillId="2" borderId="0" xfId="0" quotePrefix="1" applyFont="1" applyFill="1" applyAlignment="1">
      <alignment horizontal="center"/>
    </xf>
    <xf numFmtId="0" fontId="18" fillId="2" borderId="6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7" fillId="5" borderId="6" xfId="0" applyFont="1" applyFill="1" applyBorder="1" applyAlignment="1">
      <alignment horizontal="center"/>
    </xf>
    <xf numFmtId="0" fontId="17" fillId="5" borderId="8" xfId="0" applyFont="1" applyFill="1" applyBorder="1" applyAlignment="1">
      <alignment horizontal="center"/>
    </xf>
    <xf numFmtId="0" fontId="9" fillId="2" borderId="5" xfId="0" applyFont="1" applyFill="1" applyBorder="1" applyAlignment="1">
      <alignment vertical="center" wrapText="1"/>
    </xf>
    <xf numFmtId="0" fontId="9" fillId="2" borderId="6" xfId="0" applyFont="1" applyFill="1" applyBorder="1"/>
    <xf numFmtId="0" fontId="9" fillId="2" borderId="7" xfId="0" applyFont="1" applyFill="1" applyBorder="1" applyAlignment="1">
      <alignment vertical="center" wrapText="1"/>
    </xf>
    <xf numFmtId="0" fontId="9" fillId="2" borderId="8" xfId="0" applyFont="1" applyFill="1" applyBorder="1"/>
    <xf numFmtId="0" fontId="9" fillId="5" borderId="26" xfId="0" applyFont="1" applyFill="1" applyBorder="1"/>
    <xf numFmtId="0" fontId="8" fillId="2" borderId="7" xfId="0" applyFont="1" applyFill="1" applyBorder="1" applyAlignment="1">
      <alignment vertical="center" wrapText="1"/>
    </xf>
    <xf numFmtId="0" fontId="8" fillId="2" borderId="26" xfId="0" applyFont="1" applyFill="1" applyBorder="1" applyAlignment="1">
      <alignment vertical="center" wrapText="1"/>
    </xf>
    <xf numFmtId="0" fontId="9" fillId="2" borderId="26" xfId="0" applyFont="1" applyFill="1" applyBorder="1"/>
    <xf numFmtId="0" fontId="9" fillId="2" borderId="1" xfId="0" applyFont="1" applyFill="1" applyBorder="1" applyAlignment="1">
      <alignment vertical="center" wrapText="1"/>
    </xf>
    <xf numFmtId="0" fontId="8" fillId="2" borderId="4" xfId="0" applyFont="1" applyFill="1" applyBorder="1" applyAlignment="1">
      <alignment vertical="center" wrapText="1"/>
    </xf>
    <xf numFmtId="0" fontId="8" fillId="2" borderId="25" xfId="0" applyFont="1" applyFill="1" applyBorder="1"/>
    <xf numFmtId="0" fontId="9" fillId="2" borderId="8" xfId="0" applyFont="1" applyFill="1" applyBorder="1" applyAlignment="1">
      <alignment vertical="center" wrapText="1"/>
    </xf>
    <xf numFmtId="0" fontId="8" fillId="2" borderId="19" xfId="0" applyFont="1" applyFill="1" applyBorder="1"/>
    <xf numFmtId="0" fontId="9" fillId="2" borderId="18" xfId="0" applyFont="1" applyFill="1" applyBorder="1"/>
    <xf numFmtId="0" fontId="9" fillId="5" borderId="0" xfId="0" applyFont="1" applyFill="1"/>
    <xf numFmtId="0" fontId="9" fillId="5" borderId="4" xfId="0" applyFont="1" applyFill="1" applyBorder="1"/>
    <xf numFmtId="0" fontId="9" fillId="5" borderId="25" xfId="0" applyFont="1" applyFill="1" applyBorder="1"/>
    <xf numFmtId="0" fontId="9" fillId="5" borderId="5" xfId="0" applyFont="1" applyFill="1" applyBorder="1"/>
    <xf numFmtId="0" fontId="9" fillId="5" borderId="7" xfId="0" applyFont="1" applyFill="1" applyBorder="1"/>
    <xf numFmtId="0" fontId="9" fillId="5" borderId="1" xfId="0" applyFont="1" applyFill="1" applyBorder="1"/>
    <xf numFmtId="0" fontId="12" fillId="2" borderId="0" xfId="0" applyFont="1" applyFill="1"/>
    <xf numFmtId="2" fontId="12" fillId="2" borderId="0" xfId="0" applyNumberFormat="1" applyFont="1" applyFill="1"/>
    <xf numFmtId="1" fontId="0" fillId="2" borderId="0" xfId="0" applyNumberFormat="1" applyFill="1"/>
    <xf numFmtId="0" fontId="0" fillId="2" borderId="4" xfId="0" applyFill="1" applyBorder="1"/>
    <xf numFmtId="0" fontId="0" fillId="2" borderId="1" xfId="0" applyFill="1" applyBorder="1"/>
    <xf numFmtId="2" fontId="10" fillId="2" borderId="4" xfId="0" applyNumberFormat="1" applyFont="1" applyFill="1" applyBorder="1" applyAlignment="1">
      <alignment horizontal="right" vertical="center"/>
    </xf>
    <xf numFmtId="2" fontId="10" fillId="2" borderId="25" xfId="0" applyNumberFormat="1" applyFont="1" applyFill="1" applyBorder="1" applyAlignment="1">
      <alignment horizontal="right" vertical="center"/>
    </xf>
    <xf numFmtId="2" fontId="10" fillId="2" borderId="0" xfId="0" applyNumberFormat="1" applyFont="1" applyFill="1" applyAlignment="1">
      <alignment horizontal="right" vertical="center"/>
    </xf>
    <xf numFmtId="2" fontId="10" fillId="2" borderId="6" xfId="0" applyNumberFormat="1" applyFont="1" applyFill="1" applyBorder="1" applyAlignment="1">
      <alignment horizontal="right" vertical="center"/>
    </xf>
    <xf numFmtId="0" fontId="0" fillId="2" borderId="8" xfId="0" applyFill="1" applyBorder="1"/>
    <xf numFmtId="1" fontId="10" fillId="2" borderId="34" xfId="0" applyNumberFormat="1" applyFont="1" applyFill="1" applyBorder="1" applyAlignment="1">
      <alignment horizontal="center"/>
    </xf>
    <xf numFmtId="1" fontId="10" fillId="2" borderId="0" xfId="0" applyNumberFormat="1" applyFont="1" applyFill="1" applyAlignment="1">
      <alignment horizontal="center"/>
    </xf>
    <xf numFmtId="1" fontId="10" fillId="2" borderId="5" xfId="0" applyNumberFormat="1" applyFont="1" applyFill="1" applyBorder="1" applyAlignment="1">
      <alignment horizontal="center"/>
    </xf>
    <xf numFmtId="1" fontId="10" fillId="2" borderId="6" xfId="0" applyNumberFormat="1" applyFont="1" applyFill="1" applyBorder="1" applyAlignment="1">
      <alignment horizontal="center"/>
    </xf>
    <xf numFmtId="2" fontId="10" fillId="2" borderId="5" xfId="0" applyNumberFormat="1" applyFont="1" applyFill="1" applyBorder="1" applyAlignment="1">
      <alignment horizontal="center"/>
    </xf>
    <xf numFmtId="2" fontId="10" fillId="2" borderId="0" xfId="0" applyNumberFormat="1" applyFont="1" applyFill="1" applyAlignment="1">
      <alignment horizontal="center"/>
    </xf>
    <xf numFmtId="1" fontId="10" fillId="2" borderId="31" xfId="0" applyNumberFormat="1" applyFont="1" applyFill="1" applyBorder="1" applyAlignment="1">
      <alignment horizontal="center"/>
    </xf>
    <xf numFmtId="1" fontId="10" fillId="2" borderId="7" xfId="0" applyNumberFormat="1" applyFont="1" applyFill="1" applyBorder="1" applyAlignment="1">
      <alignment horizontal="center"/>
    </xf>
    <xf numFmtId="1" fontId="10" fillId="2" borderId="1" xfId="0" applyNumberFormat="1" applyFont="1" applyFill="1" applyBorder="1" applyAlignment="1">
      <alignment horizontal="center"/>
    </xf>
    <xf numFmtId="1" fontId="10" fillId="2" borderId="8" xfId="0" applyNumberFormat="1" applyFont="1" applyFill="1" applyBorder="1" applyAlignment="1">
      <alignment horizontal="center"/>
    </xf>
    <xf numFmtId="2" fontId="10" fillId="2" borderId="7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2" fillId="2" borderId="33" xfId="0" applyFont="1" applyFill="1" applyBorder="1" applyAlignment="1">
      <alignment horizontal="center"/>
    </xf>
    <xf numFmtId="0" fontId="0" fillId="2" borderId="26" xfId="0" applyFill="1" applyBorder="1"/>
    <xf numFmtId="0" fontId="12" fillId="2" borderId="4" xfId="0" applyFont="1" applyFill="1" applyBorder="1" applyAlignment="1">
      <alignment horizontal="center"/>
    </xf>
    <xf numFmtId="0" fontId="12" fillId="2" borderId="25" xfId="0" applyFont="1" applyFill="1" applyBorder="1"/>
    <xf numFmtId="0" fontId="12" fillId="2" borderId="3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right"/>
    </xf>
    <xf numFmtId="0" fontId="12" fillId="2" borderId="0" xfId="0" applyFont="1" applyFill="1" applyAlignment="1">
      <alignment horizontal="right"/>
    </xf>
    <xf numFmtId="0" fontId="12" fillId="2" borderId="6" xfId="0" applyFont="1" applyFill="1" applyBorder="1" applyAlignment="1">
      <alignment horizontal="right"/>
    </xf>
    <xf numFmtId="0" fontId="12" fillId="2" borderId="26" xfId="0" applyFont="1" applyFill="1" applyBorder="1"/>
    <xf numFmtId="0" fontId="12" fillId="2" borderId="5" xfId="0" applyFont="1" applyFill="1" applyBorder="1"/>
    <xf numFmtId="0" fontId="12" fillId="2" borderId="7" xfId="0" applyFont="1" applyFill="1" applyBorder="1"/>
    <xf numFmtId="167" fontId="10" fillId="2" borderId="0" xfId="0" applyNumberFormat="1" applyFont="1" applyFill="1" applyAlignment="1">
      <alignment horizontal="center"/>
    </xf>
    <xf numFmtId="0" fontId="10" fillId="2" borderId="0" xfId="0" applyFont="1" applyFill="1"/>
    <xf numFmtId="167" fontId="10" fillId="5" borderId="0" xfId="0" applyNumberFormat="1" applyFont="1" applyFill="1" applyAlignment="1">
      <alignment horizontal="center"/>
    </xf>
    <xf numFmtId="1" fontId="10" fillId="5" borderId="6" xfId="6" applyNumberFormat="1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10" fillId="5" borderId="7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8" xfId="0" applyFont="1" applyFill="1" applyBorder="1" applyAlignment="1">
      <alignment horizontal="center"/>
    </xf>
    <xf numFmtId="1" fontId="10" fillId="5" borderId="1" xfId="0" applyNumberFormat="1" applyFont="1" applyFill="1" applyBorder="1" applyAlignment="1">
      <alignment horizontal="right" vertical="center"/>
    </xf>
    <xf numFmtId="1" fontId="10" fillId="5" borderId="4" xfId="0" applyNumberFormat="1" applyFont="1" applyFill="1" applyBorder="1" applyAlignment="1">
      <alignment horizontal="right" vertical="center"/>
    </xf>
    <xf numFmtId="1" fontId="10" fillId="5" borderId="0" xfId="0" applyNumberFormat="1" applyFont="1" applyFill="1" applyAlignment="1">
      <alignment horizontal="right" vertical="center"/>
    </xf>
    <xf numFmtId="0" fontId="0" fillId="0" borderId="1" xfId="0" applyBorder="1" applyAlignment="1">
      <alignment horizontal="center"/>
    </xf>
    <xf numFmtId="167" fontId="0" fillId="0" borderId="0" xfId="0" applyNumberFormat="1" applyAlignment="1">
      <alignment horizontal="center"/>
    </xf>
    <xf numFmtId="3" fontId="10" fillId="2" borderId="0" xfId="0" applyNumberFormat="1" applyFont="1" applyFill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0" xfId="8" applyFont="1" applyFill="1" applyAlignment="1">
      <alignment horizontal="center"/>
    </xf>
    <xf numFmtId="167" fontId="4" fillId="0" borderId="0" xfId="8" applyNumberFormat="1" applyFont="1" applyFill="1" applyAlignment="1">
      <alignment horizontal="center"/>
    </xf>
    <xf numFmtId="3" fontId="4" fillId="0" borderId="0" xfId="8" applyNumberFormat="1" applyFont="1" applyFill="1" applyAlignment="1">
      <alignment horizontal="center"/>
    </xf>
    <xf numFmtId="3" fontId="10" fillId="0" borderId="0" xfId="8" applyNumberFormat="1" applyFont="1" applyFill="1" applyAlignment="1">
      <alignment horizontal="center"/>
    </xf>
    <xf numFmtId="0" fontId="0" fillId="9" borderId="0" xfId="0" applyFill="1" applyAlignment="1">
      <alignment horizontal="center"/>
    </xf>
    <xf numFmtId="167" fontId="0" fillId="9" borderId="0" xfId="0" applyNumberFormat="1" applyFill="1" applyAlignment="1">
      <alignment horizontal="center"/>
    </xf>
    <xf numFmtId="3" fontId="0" fillId="9" borderId="0" xfId="0" applyNumberFormat="1" applyFill="1" applyAlignment="1">
      <alignment horizontal="center"/>
    </xf>
    <xf numFmtId="0" fontId="23" fillId="7" borderId="0" xfId="9" applyAlignment="1">
      <alignment horizontal="center"/>
    </xf>
    <xf numFmtId="167" fontId="23" fillId="7" borderId="0" xfId="9" applyNumberFormat="1" applyAlignment="1">
      <alignment horizontal="center"/>
    </xf>
    <xf numFmtId="3" fontId="23" fillId="7" borderId="0" xfId="9" applyNumberFormat="1" applyAlignment="1">
      <alignment horizontal="center"/>
    </xf>
    <xf numFmtId="167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4" fillId="2" borderId="0" xfId="0" applyNumberFormat="1" applyFont="1" applyFill="1" applyAlignment="1">
      <alignment horizontal="center"/>
    </xf>
    <xf numFmtId="2" fontId="4" fillId="2" borderId="0" xfId="0" applyNumberFormat="1" applyFont="1" applyFill="1" applyAlignment="1">
      <alignment horizontal="left"/>
    </xf>
    <xf numFmtId="2" fontId="4" fillId="2" borderId="0" xfId="7" applyNumberFormat="1" applyFont="1" applyFill="1" applyBorder="1" applyAlignment="1">
      <alignment horizontal="left"/>
    </xf>
    <xf numFmtId="3" fontId="4" fillId="5" borderId="0" xfId="0" applyNumberFormat="1" applyFont="1" applyFill="1" applyAlignment="1">
      <alignment horizontal="center"/>
    </xf>
    <xf numFmtId="3" fontId="0" fillId="2" borderId="0" xfId="0" applyNumberFormat="1" applyFill="1"/>
    <xf numFmtId="0" fontId="3" fillId="2" borderId="0" xfId="0" applyFont="1" applyFill="1" applyAlignment="1">
      <alignment vertical="center"/>
    </xf>
    <xf numFmtId="0" fontId="11" fillId="6" borderId="15" xfId="0" applyFont="1" applyFill="1" applyBorder="1"/>
    <xf numFmtId="0" fontId="11" fillId="6" borderId="0" xfId="0" applyFont="1" applyFill="1"/>
    <xf numFmtId="0" fontId="11" fillId="6" borderId="40" xfId="0" applyFont="1" applyFill="1" applyBorder="1"/>
    <xf numFmtId="0" fontId="11" fillId="6" borderId="16" xfId="0" applyFont="1" applyFill="1" applyBorder="1"/>
    <xf numFmtId="0" fontId="11" fillId="6" borderId="5" xfId="0" applyFont="1" applyFill="1" applyBorder="1"/>
    <xf numFmtId="10" fontId="11" fillId="6" borderId="5" xfId="0" applyNumberFormat="1" applyFont="1" applyFill="1" applyBorder="1"/>
    <xf numFmtId="0" fontId="11" fillId="10" borderId="5" xfId="0" applyFont="1" applyFill="1" applyBorder="1"/>
    <xf numFmtId="0" fontId="11" fillId="2" borderId="0" xfId="0" applyFont="1" applyFill="1"/>
    <xf numFmtId="2" fontId="11" fillId="10" borderId="5" xfId="0" applyNumberFormat="1" applyFont="1" applyFill="1" applyBorder="1"/>
    <xf numFmtId="0" fontId="11" fillId="6" borderId="13" xfId="0" applyFont="1" applyFill="1" applyBorder="1"/>
    <xf numFmtId="0" fontId="11" fillId="6" borderId="14" xfId="0" applyFont="1" applyFill="1" applyBorder="1"/>
    <xf numFmtId="2" fontId="11" fillId="10" borderId="24" xfId="0" applyNumberFormat="1" applyFont="1" applyFill="1" applyBorder="1"/>
    <xf numFmtId="0" fontId="11" fillId="6" borderId="17" xfId="0" applyFont="1" applyFill="1" applyBorder="1"/>
    <xf numFmtId="0" fontId="11" fillId="6" borderId="49" xfId="0" applyFont="1" applyFill="1" applyBorder="1"/>
    <xf numFmtId="0" fontId="24" fillId="6" borderId="50" xfId="0" applyFont="1" applyFill="1" applyBorder="1" applyAlignment="1">
      <alignment horizontal="center"/>
    </xf>
    <xf numFmtId="0" fontId="24" fillId="6" borderId="51" xfId="0" applyFont="1" applyFill="1" applyBorder="1" applyAlignment="1">
      <alignment horizontal="center"/>
    </xf>
    <xf numFmtId="0" fontId="24" fillId="6" borderId="52" xfId="0" applyFont="1" applyFill="1" applyBorder="1" applyAlignment="1">
      <alignment horizontal="center"/>
    </xf>
    <xf numFmtId="0" fontId="11" fillId="6" borderId="53" xfId="0" applyFont="1" applyFill="1" applyBorder="1"/>
    <xf numFmtId="0" fontId="24" fillId="6" borderId="6" xfId="0" applyFont="1" applyFill="1" applyBorder="1" applyAlignment="1">
      <alignment horizontal="center"/>
    </xf>
    <xf numFmtId="0" fontId="24" fillId="6" borderId="34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24" fillId="6" borderId="54" xfId="0" applyFont="1" applyFill="1" applyBorder="1"/>
    <xf numFmtId="0" fontId="11" fillId="6" borderId="8" xfId="0" applyFont="1" applyFill="1" applyBorder="1" applyAlignment="1">
      <alignment horizontal="center"/>
    </xf>
    <xf numFmtId="0" fontId="11" fillId="6" borderId="31" xfId="0" applyFont="1" applyFill="1" applyBorder="1" applyAlignment="1">
      <alignment horizontal="center"/>
    </xf>
    <xf numFmtId="0" fontId="11" fillId="6" borderId="55" xfId="0" applyFont="1" applyFill="1" applyBorder="1" applyAlignment="1">
      <alignment horizontal="center"/>
    </xf>
    <xf numFmtId="0" fontId="11" fillId="6" borderId="6" xfId="0" applyFont="1" applyFill="1" applyBorder="1"/>
    <xf numFmtId="0" fontId="11" fillId="6" borderId="34" xfId="0" applyFont="1" applyFill="1" applyBorder="1"/>
    <xf numFmtId="2" fontId="11" fillId="6" borderId="34" xfId="0" applyNumberFormat="1" applyFont="1" applyFill="1" applyBorder="1"/>
    <xf numFmtId="1" fontId="11" fillId="10" borderId="34" xfId="0" applyNumberFormat="1" applyFont="1" applyFill="1" applyBorder="1" applyAlignment="1">
      <alignment horizontal="right"/>
    </xf>
    <xf numFmtId="1" fontId="11" fillId="10" borderId="38" xfId="0" applyNumberFormat="1" applyFont="1" applyFill="1" applyBorder="1" applyAlignment="1">
      <alignment horizontal="right"/>
    </xf>
    <xf numFmtId="0" fontId="24" fillId="2" borderId="56" xfId="0" applyFont="1" applyFill="1" applyBorder="1"/>
    <xf numFmtId="0" fontId="24" fillId="2" borderId="28" xfId="0" applyFont="1" applyFill="1" applyBorder="1"/>
    <xf numFmtId="0" fontId="24" fillId="2" borderId="57" xfId="0" applyFont="1" applyFill="1" applyBorder="1"/>
    <xf numFmtId="1" fontId="11" fillId="10" borderId="57" xfId="0" applyNumberFormat="1" applyFont="1" applyFill="1" applyBorder="1" applyAlignment="1">
      <alignment horizontal="right"/>
    </xf>
    <xf numFmtId="0" fontId="24" fillId="6" borderId="6" xfId="0" applyFont="1" applyFill="1" applyBorder="1" applyAlignment="1">
      <alignment horizontal="center" vertical="center"/>
    </xf>
    <xf numFmtId="0" fontId="24" fillId="6" borderId="34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/>
    </xf>
    <xf numFmtId="0" fontId="24" fillId="6" borderId="53" xfId="0" applyFont="1" applyFill="1" applyBorder="1"/>
    <xf numFmtId="0" fontId="11" fillId="6" borderId="31" xfId="0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/>
    </xf>
    <xf numFmtId="0" fontId="11" fillId="6" borderId="35" xfId="0" applyFont="1" applyFill="1" applyBorder="1" applyAlignment="1">
      <alignment horizontal="center" vertical="center"/>
    </xf>
    <xf numFmtId="0" fontId="24" fillId="6" borderId="58" xfId="0" applyFont="1" applyFill="1" applyBorder="1"/>
    <xf numFmtId="1" fontId="11" fillId="10" borderId="41" xfId="0" applyNumberFormat="1" applyFont="1" applyFill="1" applyBorder="1" applyAlignment="1">
      <alignment horizontal="right"/>
    </xf>
    <xf numFmtId="2" fontId="11" fillId="10" borderId="41" xfId="0" applyNumberFormat="1" applyFont="1" applyFill="1" applyBorder="1" applyAlignment="1">
      <alignment horizontal="right"/>
    </xf>
    <xf numFmtId="0" fontId="11" fillId="6" borderId="21" xfId="0" applyFont="1" applyFill="1" applyBorder="1"/>
    <xf numFmtId="0" fontId="11" fillId="6" borderId="22" xfId="0" applyFont="1" applyFill="1" applyBorder="1"/>
    <xf numFmtId="0" fontId="0" fillId="2" borderId="22" xfId="0" applyFill="1" applyBorder="1"/>
    <xf numFmtId="0" fontId="11" fillId="6" borderId="22" xfId="0" applyFont="1" applyFill="1" applyBorder="1" applyAlignment="1">
      <alignment horizontal="right"/>
    </xf>
    <xf numFmtId="0" fontId="29" fillId="2" borderId="0" xfId="10" applyFont="1" applyFill="1"/>
    <xf numFmtId="0" fontId="29" fillId="2" borderId="0" xfId="10" applyFont="1" applyFill="1" applyAlignment="1">
      <alignment horizontal="center"/>
    </xf>
    <xf numFmtId="0" fontId="30" fillId="2" borderId="0" xfId="10" applyFont="1" applyFill="1"/>
    <xf numFmtId="0" fontId="29" fillId="2" borderId="0" xfId="10" applyFont="1" applyFill="1" applyAlignment="1">
      <alignment horizontal="center" wrapText="1"/>
    </xf>
    <xf numFmtId="0" fontId="30" fillId="2" borderId="0" xfId="10" applyFont="1" applyFill="1" applyAlignment="1">
      <alignment horizontal="center"/>
    </xf>
    <xf numFmtId="0" fontId="29" fillId="2" borderId="14" xfId="10" applyFont="1" applyFill="1" applyBorder="1"/>
    <xf numFmtId="0" fontId="29" fillId="2" borderId="10" xfId="10" applyFont="1" applyFill="1" applyBorder="1" applyAlignment="1">
      <alignment horizontal="center"/>
    </xf>
    <xf numFmtId="0" fontId="29" fillId="2" borderId="12" xfId="10" applyFont="1" applyFill="1" applyBorder="1" applyAlignment="1">
      <alignment horizontal="center"/>
    </xf>
    <xf numFmtId="172" fontId="29" fillId="5" borderId="0" xfId="10" applyNumberFormat="1" applyFont="1" applyFill="1"/>
    <xf numFmtId="173" fontId="29" fillId="5" borderId="0" xfId="10" applyNumberFormat="1" applyFont="1" applyFill="1"/>
    <xf numFmtId="173" fontId="29" fillId="5" borderId="16" xfId="10" applyNumberFormat="1" applyFont="1" applyFill="1" applyBorder="1"/>
    <xf numFmtId="0" fontId="29" fillId="2" borderId="21" xfId="10" applyFont="1" applyFill="1" applyBorder="1" applyAlignment="1">
      <alignment horizontal="center" wrapText="1"/>
    </xf>
    <xf numFmtId="0" fontId="29" fillId="2" borderId="22" xfId="10" applyFont="1" applyFill="1" applyBorder="1" applyAlignment="1">
      <alignment horizontal="center" wrapText="1"/>
    </xf>
    <xf numFmtId="0" fontId="29" fillId="2" borderId="23" xfId="10" applyFont="1" applyFill="1" applyBorder="1" applyAlignment="1">
      <alignment horizontal="center" wrapText="1"/>
    </xf>
    <xf numFmtId="0" fontId="29" fillId="2" borderId="15" xfId="10" applyFont="1" applyFill="1" applyBorder="1" applyAlignment="1">
      <alignment horizontal="center"/>
    </xf>
    <xf numFmtId="0" fontId="29" fillId="5" borderId="0" xfId="10" applyFont="1" applyFill="1" applyAlignment="1">
      <alignment horizontal="center"/>
    </xf>
    <xf numFmtId="0" fontId="29" fillId="2" borderId="16" xfId="10" applyFont="1" applyFill="1" applyBorder="1" applyAlignment="1">
      <alignment horizontal="center"/>
    </xf>
    <xf numFmtId="2" fontId="29" fillId="2" borderId="11" xfId="10" applyNumberFormat="1" applyFont="1" applyFill="1" applyBorder="1" applyAlignment="1">
      <alignment horizontal="center"/>
    </xf>
    <xf numFmtId="2" fontId="29" fillId="2" borderId="12" xfId="10" applyNumberFormat="1" applyFont="1" applyFill="1" applyBorder="1" applyAlignment="1">
      <alignment horizontal="center"/>
    </xf>
    <xf numFmtId="2" fontId="29" fillId="2" borderId="0" xfId="10" applyNumberFormat="1" applyFont="1" applyFill="1" applyAlignment="1">
      <alignment horizontal="center"/>
    </xf>
    <xf numFmtId="2" fontId="29" fillId="2" borderId="16" xfId="10" applyNumberFormat="1" applyFont="1" applyFill="1" applyBorder="1" applyAlignment="1">
      <alignment horizontal="center"/>
    </xf>
    <xf numFmtId="0" fontId="29" fillId="2" borderId="13" xfId="10" applyFont="1" applyFill="1" applyBorder="1" applyAlignment="1">
      <alignment horizontal="center"/>
    </xf>
    <xf numFmtId="2" fontId="29" fillId="2" borderId="14" xfId="10" applyNumberFormat="1" applyFont="1" applyFill="1" applyBorder="1" applyAlignment="1">
      <alignment horizontal="center"/>
    </xf>
    <xf numFmtId="2" fontId="29" fillId="2" borderId="17" xfId="10" applyNumberFormat="1" applyFont="1" applyFill="1" applyBorder="1" applyAlignment="1">
      <alignment horizontal="center"/>
    </xf>
    <xf numFmtId="0" fontId="29" fillId="2" borderId="10" xfId="10" applyFont="1" applyFill="1" applyBorder="1" applyAlignment="1">
      <alignment horizontal="left"/>
    </xf>
    <xf numFmtId="0" fontId="29" fillId="2" borderId="11" xfId="10" applyFont="1" applyFill="1" applyBorder="1" applyAlignment="1">
      <alignment horizontal="centerContinuous"/>
    </xf>
    <xf numFmtId="0" fontId="29" fillId="2" borderId="13" xfId="10" applyFont="1" applyFill="1" applyBorder="1" applyAlignment="1">
      <alignment horizontal="left"/>
    </xf>
    <xf numFmtId="0" fontId="29" fillId="2" borderId="14" xfId="10" applyFont="1" applyFill="1" applyBorder="1" applyAlignment="1">
      <alignment horizontal="centerContinuous"/>
    </xf>
    <xf numFmtId="0" fontId="29" fillId="2" borderId="17" xfId="10" applyFont="1" applyFill="1" applyBorder="1" applyAlignment="1">
      <alignment horizontal="center"/>
    </xf>
    <xf numFmtId="0" fontId="29" fillId="2" borderId="10" xfId="10" applyFont="1" applyFill="1" applyBorder="1"/>
    <xf numFmtId="0" fontId="29" fillId="2" borderId="11" xfId="10" applyFont="1" applyFill="1" applyBorder="1"/>
    <xf numFmtId="0" fontId="29" fillId="2" borderId="13" xfId="10" applyFont="1" applyFill="1" applyBorder="1"/>
    <xf numFmtId="172" fontId="30" fillId="2" borderId="0" xfId="10" applyNumberFormat="1" applyFont="1" applyFill="1" applyAlignment="1">
      <alignment horizontal="center"/>
    </xf>
    <xf numFmtId="172" fontId="29" fillId="2" borderId="12" xfId="10" applyNumberFormat="1" applyFont="1" applyFill="1" applyBorder="1" applyAlignment="1">
      <alignment horizontal="center"/>
    </xf>
    <xf numFmtId="173" fontId="30" fillId="2" borderId="0" xfId="10" applyNumberFormat="1" applyFont="1" applyFill="1" applyAlignment="1">
      <alignment horizontal="center"/>
    </xf>
    <xf numFmtId="173" fontId="29" fillId="2" borderId="12" xfId="10" applyNumberFormat="1" applyFont="1" applyFill="1" applyBorder="1" applyAlignment="1">
      <alignment horizontal="center"/>
    </xf>
    <xf numFmtId="0" fontId="29" fillId="2" borderId="14" xfId="10" applyFont="1" applyFill="1" applyBorder="1" applyAlignment="1">
      <alignment horizontal="center"/>
    </xf>
    <xf numFmtId="0" fontId="29" fillId="2" borderId="16" xfId="10" applyFont="1" applyFill="1" applyBorder="1"/>
    <xf numFmtId="0" fontId="20" fillId="2" borderId="0" xfId="0" applyFont="1" applyFill="1"/>
    <xf numFmtId="0" fontId="2" fillId="2" borderId="1" xfId="0" applyFont="1" applyFill="1" applyBorder="1" applyAlignment="1">
      <alignment horizontal="right"/>
    </xf>
    <xf numFmtId="0" fontId="2" fillId="2" borderId="0" xfId="0" applyFont="1" applyFill="1" applyAlignment="1">
      <alignment horizontal="right"/>
    </xf>
    <xf numFmtId="0" fontId="19" fillId="2" borderId="0" xfId="0" applyFont="1" applyFill="1"/>
    <xf numFmtId="0" fontId="3" fillId="2" borderId="1" xfId="0" applyFont="1" applyFill="1" applyBorder="1" applyAlignment="1">
      <alignment horizontal="right"/>
    </xf>
    <xf numFmtId="2" fontId="0" fillId="2" borderId="0" xfId="0" applyNumberFormat="1" applyFill="1"/>
    <xf numFmtId="0" fontId="29" fillId="5" borderId="4" xfId="10" applyFont="1" applyFill="1" applyBorder="1" applyAlignment="1">
      <alignment horizontal="center"/>
    </xf>
    <xf numFmtId="165" fontId="32" fillId="2" borderId="0" xfId="0" applyNumberFormat="1" applyFont="1" applyFill="1"/>
    <xf numFmtId="174" fontId="0" fillId="2" borderId="0" xfId="0" applyNumberFormat="1" applyFill="1"/>
    <xf numFmtId="174" fontId="20" fillId="2" borderId="0" xfId="0" applyNumberFormat="1" applyFont="1" applyFill="1"/>
    <xf numFmtId="0" fontId="20" fillId="2" borderId="1" xfId="0" applyFont="1" applyFill="1" applyBorder="1"/>
    <xf numFmtId="9" fontId="0" fillId="2" borderId="0" xfId="0" applyNumberFormat="1" applyFill="1"/>
    <xf numFmtId="165" fontId="0" fillId="2" borderId="0" xfId="0" applyNumberFormat="1" applyFill="1"/>
    <xf numFmtId="165" fontId="20" fillId="2" borderId="0" xfId="0" applyNumberFormat="1" applyFont="1" applyFill="1"/>
    <xf numFmtId="0" fontId="9" fillId="2" borderId="0" xfId="0" applyFont="1" applyFill="1" applyAlignment="1">
      <alignment horizontal="right"/>
    </xf>
    <xf numFmtId="0" fontId="8" fillId="2" borderId="26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4" fillId="2" borderId="1" xfId="1" applyNumberFormat="1" applyFont="1" applyFill="1" applyBorder="1" applyAlignment="1">
      <alignment horizontal="center"/>
    </xf>
    <xf numFmtId="0" fontId="3" fillId="2" borderId="60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/>
    </xf>
    <xf numFmtId="0" fontId="17" fillId="5" borderId="4" xfId="0" applyFont="1" applyFill="1" applyBorder="1" applyAlignment="1">
      <alignment horizontal="center"/>
    </xf>
    <xf numFmtId="0" fontId="17" fillId="5" borderId="25" xfId="0" applyFont="1" applyFill="1" applyBorder="1" applyAlignment="1">
      <alignment horizontal="center"/>
    </xf>
    <xf numFmtId="0" fontId="17" fillId="5" borderId="5" xfId="0" applyFont="1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7" fillId="5" borderId="0" xfId="0" applyFont="1" applyFill="1" applyAlignment="1">
      <alignment horizontal="center"/>
    </xf>
    <xf numFmtId="0" fontId="18" fillId="2" borderId="5" xfId="0" applyFont="1" applyFill="1" applyBorder="1" applyAlignment="1">
      <alignment horizontal="center"/>
    </xf>
    <xf numFmtId="0" fontId="17" fillId="5" borderId="7" xfId="0" applyFont="1" applyFill="1" applyBorder="1" applyAlignment="1">
      <alignment horizontal="center" vertical="center"/>
    </xf>
    <xf numFmtId="0" fontId="4" fillId="2" borderId="52" xfId="0" applyFont="1" applyFill="1" applyBorder="1" applyAlignment="1">
      <alignment horizontal="center" vertical="center"/>
    </xf>
    <xf numFmtId="0" fontId="4" fillId="2" borderId="55" xfId="0" applyFont="1" applyFill="1" applyBorder="1" applyAlignment="1">
      <alignment horizontal="center" vertical="center"/>
    </xf>
    <xf numFmtId="0" fontId="4" fillId="2" borderId="60" xfId="0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center" vertical="center"/>
    </xf>
    <xf numFmtId="0" fontId="0" fillId="11" borderId="0" xfId="0" applyFill="1"/>
    <xf numFmtId="0" fontId="3" fillId="11" borderId="0" xfId="0" applyFont="1" applyFill="1"/>
    <xf numFmtId="0" fontId="4" fillId="11" borderId="0" xfId="0" applyFont="1" applyFill="1"/>
    <xf numFmtId="0" fontId="4" fillId="11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9" fillId="11" borderId="0" xfId="2" applyFont="1" applyFill="1"/>
    <xf numFmtId="0" fontId="4" fillId="11" borderId="0" xfId="2" applyFont="1" applyFill="1"/>
    <xf numFmtId="0" fontId="4" fillId="11" borderId="0" xfId="2" applyFont="1" applyFill="1" applyAlignment="1">
      <alignment horizontal="center"/>
    </xf>
    <xf numFmtId="0" fontId="5" fillId="11" borderId="0" xfId="0" applyFont="1" applyFill="1"/>
    <xf numFmtId="0" fontId="13" fillId="11" borderId="0" xfId="0" applyFont="1" applyFill="1"/>
    <xf numFmtId="0" fontId="14" fillId="11" borderId="0" xfId="0" applyFont="1" applyFill="1" applyAlignment="1">
      <alignment vertical="center"/>
    </xf>
    <xf numFmtId="0" fontId="13" fillId="11" borderId="0" xfId="0" applyFont="1" applyFill="1" applyAlignment="1">
      <alignment vertical="center"/>
    </xf>
    <xf numFmtId="167" fontId="0" fillId="2" borderId="0" xfId="0" applyNumberFormat="1" applyFill="1" applyAlignment="1">
      <alignment horizontal="center"/>
    </xf>
    <xf numFmtId="171" fontId="0" fillId="2" borderId="0" xfId="0" applyNumberFormat="1" applyFill="1"/>
    <xf numFmtId="49" fontId="0" fillId="2" borderId="0" xfId="0" applyNumberFormat="1" applyFill="1" applyAlignment="1">
      <alignment horizontal="center"/>
    </xf>
    <xf numFmtId="0" fontId="21" fillId="2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21" fillId="2" borderId="0" xfId="0" applyNumberFormat="1" applyFont="1" applyFill="1" applyAlignment="1">
      <alignment horizontal="center"/>
    </xf>
    <xf numFmtId="170" fontId="0" fillId="2" borderId="0" xfId="7" applyNumberFormat="1" applyFont="1" applyFill="1"/>
    <xf numFmtId="3" fontId="4" fillId="2" borderId="1" xfId="0" applyNumberFormat="1" applyFont="1" applyFill="1" applyBorder="1" applyAlignment="1">
      <alignment horizontal="center"/>
    </xf>
    <xf numFmtId="9" fontId="4" fillId="2" borderId="25" xfId="0" applyNumberFormat="1" applyFont="1" applyFill="1" applyBorder="1" applyAlignment="1">
      <alignment horizontal="center"/>
    </xf>
    <xf numFmtId="10" fontId="0" fillId="2" borderId="6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" fontId="4" fillId="0" borderId="3" xfId="0" applyNumberFormat="1" applyFont="1" applyBorder="1" applyAlignment="1">
      <alignment horizontal="center"/>
    </xf>
    <xf numFmtId="1" fontId="4" fillId="0" borderId="9" xfId="0" applyNumberFormat="1" applyFont="1" applyBorder="1" applyAlignment="1">
      <alignment horizontal="center"/>
    </xf>
    <xf numFmtId="0" fontId="29" fillId="0" borderId="0" xfId="10" applyFont="1"/>
    <xf numFmtId="0" fontId="29" fillId="0" borderId="0" xfId="10" applyFont="1" applyAlignment="1">
      <alignment horizontal="center"/>
    </xf>
    <xf numFmtId="0" fontId="30" fillId="0" borderId="0" xfId="10" applyFont="1"/>
    <xf numFmtId="0" fontId="29" fillId="0" borderId="0" xfId="10" applyFont="1" applyAlignment="1">
      <alignment horizontal="center" wrapText="1"/>
    </xf>
    <xf numFmtId="0" fontId="28" fillId="0" borderId="0" xfId="10"/>
    <xf numFmtId="172" fontId="29" fillId="0" borderId="0" xfId="10" applyNumberFormat="1" applyFont="1"/>
    <xf numFmtId="173" fontId="29" fillId="0" borderId="0" xfId="10" applyNumberFormat="1" applyFont="1"/>
    <xf numFmtId="173" fontId="29" fillId="0" borderId="0" xfId="10" applyNumberFormat="1" applyFont="1" applyAlignment="1">
      <alignment horizontal="center"/>
    </xf>
    <xf numFmtId="167" fontId="29" fillId="0" borderId="0" xfId="10" applyNumberFormat="1" applyFont="1"/>
    <xf numFmtId="172" fontId="29" fillId="2" borderId="22" xfId="10" applyNumberFormat="1" applyFont="1" applyFill="1" applyBorder="1"/>
    <xf numFmtId="173" fontId="29" fillId="2" borderId="22" xfId="10" applyNumberFormat="1" applyFont="1" applyFill="1" applyBorder="1"/>
    <xf numFmtId="173" fontId="29" fillId="2" borderId="23" xfId="10" applyNumberFormat="1" applyFont="1" applyFill="1" applyBorder="1"/>
    <xf numFmtId="0" fontId="29" fillId="2" borderId="21" xfId="10" applyFont="1" applyFill="1" applyBorder="1" applyAlignment="1">
      <alignment horizontal="left"/>
    </xf>
    <xf numFmtId="0" fontId="29" fillId="2" borderId="22" xfId="10" applyFont="1" applyFill="1" applyBorder="1"/>
    <xf numFmtId="0" fontId="9" fillId="2" borderId="4" xfId="0" applyFont="1" applyFill="1" applyBorder="1" applyAlignment="1">
      <alignment vertical="center" wrapText="1"/>
    </xf>
    <xf numFmtId="0" fontId="9" fillId="2" borderId="25" xfId="0" applyFont="1" applyFill="1" applyBorder="1" applyAlignment="1">
      <alignment vertical="center" wrapText="1"/>
    </xf>
    <xf numFmtId="0" fontId="9" fillId="0" borderId="0" xfId="0" applyFont="1"/>
    <xf numFmtId="0" fontId="8" fillId="0" borderId="0" xfId="0" applyFont="1"/>
    <xf numFmtId="169" fontId="9" fillId="0" borderId="0" xfId="0" applyNumberFormat="1" applyFont="1"/>
    <xf numFmtId="166" fontId="9" fillId="0" borderId="0" xfId="0" applyNumberFormat="1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2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4" fillId="2" borderId="39" xfId="2" applyFont="1" applyFill="1" applyBorder="1" applyAlignment="1">
      <alignment horizontal="center"/>
    </xf>
    <xf numFmtId="0" fontId="4" fillId="2" borderId="62" xfId="2" applyFont="1" applyFill="1" applyBorder="1" applyAlignment="1">
      <alignment horizontal="center"/>
    </xf>
    <xf numFmtId="0" fontId="4" fillId="2" borderId="51" xfId="2" applyFont="1" applyFill="1" applyBorder="1" applyAlignment="1">
      <alignment horizontal="center"/>
    </xf>
    <xf numFmtId="0" fontId="4" fillId="2" borderId="12" xfId="2" applyFont="1" applyFill="1" applyBorder="1" applyAlignment="1">
      <alignment horizontal="center"/>
    </xf>
    <xf numFmtId="0" fontId="4" fillId="5" borderId="51" xfId="2" applyFont="1" applyFill="1" applyBorder="1" applyAlignment="1">
      <alignment horizontal="center"/>
    </xf>
    <xf numFmtId="0" fontId="4" fillId="5" borderId="12" xfId="2" applyFont="1" applyFill="1" applyBorder="1" applyAlignment="1">
      <alignment horizontal="center"/>
    </xf>
    <xf numFmtId="0" fontId="4" fillId="5" borderId="17" xfId="2" applyFont="1" applyFill="1" applyBorder="1" applyAlignment="1">
      <alignment horizontal="center"/>
    </xf>
    <xf numFmtId="0" fontId="9" fillId="2" borderId="26" xfId="0" applyFont="1" applyFill="1" applyBorder="1" applyAlignment="1">
      <alignment vertical="center" wrapText="1"/>
    </xf>
    <xf numFmtId="0" fontId="9" fillId="2" borderId="19" xfId="0" applyFont="1" applyFill="1" applyBorder="1" applyAlignment="1">
      <alignment vertical="center" wrapText="1"/>
    </xf>
    <xf numFmtId="0" fontId="9" fillId="2" borderId="18" xfId="0" applyFont="1" applyFill="1" applyBorder="1" applyAlignment="1">
      <alignment vertical="center" wrapText="1"/>
    </xf>
    <xf numFmtId="0" fontId="9" fillId="2" borderId="20" xfId="0" applyFont="1" applyFill="1" applyBorder="1" applyAlignment="1">
      <alignment vertical="center" wrapText="1"/>
    </xf>
    <xf numFmtId="170" fontId="0" fillId="2" borderId="0" xfId="0" applyNumberFormat="1" applyFill="1"/>
    <xf numFmtId="1" fontId="10" fillId="5" borderId="5" xfId="0" applyNumberFormat="1" applyFont="1" applyFill="1" applyBorder="1" applyAlignment="1">
      <alignment horizontal="center"/>
    </xf>
    <xf numFmtId="1" fontId="4" fillId="12" borderId="0" xfId="0" applyNumberFormat="1" applyFont="1" applyFill="1" applyAlignment="1">
      <alignment horizontal="center"/>
    </xf>
    <xf numFmtId="0" fontId="0" fillId="12" borderId="0" xfId="0" applyFill="1"/>
    <xf numFmtId="170" fontId="0" fillId="12" borderId="0" xfId="0" applyNumberFormat="1" applyFill="1"/>
    <xf numFmtId="175" fontId="3" fillId="12" borderId="0" xfId="1" applyNumberFormat="1" applyFont="1" applyFill="1" applyAlignment="1">
      <alignment horizontal="center"/>
    </xf>
    <xf numFmtId="3" fontId="4" fillId="12" borderId="0" xfId="0" applyNumberFormat="1" applyFon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4" fillId="12" borderId="39" xfId="2" applyFont="1" applyFill="1" applyBorder="1" applyAlignment="1">
      <alignment horizontal="center"/>
    </xf>
    <xf numFmtId="0" fontId="17" fillId="12" borderId="14" xfId="0" applyFont="1" applyFill="1" applyBorder="1"/>
    <xf numFmtId="1" fontId="0" fillId="12" borderId="59" xfId="0" applyNumberFormat="1" applyFill="1" applyBorder="1"/>
    <xf numFmtId="172" fontId="31" fillId="13" borderId="23" xfId="10" applyNumberFormat="1" applyFont="1" applyFill="1" applyBorder="1" applyAlignment="1">
      <alignment horizontal="center"/>
    </xf>
    <xf numFmtId="0" fontId="29" fillId="12" borderId="4" xfId="10" applyFont="1" applyFill="1" applyBorder="1" applyAlignment="1">
      <alignment horizontal="center"/>
    </xf>
    <xf numFmtId="0" fontId="9" fillId="12" borderId="20" xfId="0" applyFont="1" applyFill="1" applyBorder="1" applyAlignment="1">
      <alignment vertical="center" wrapText="1"/>
    </xf>
    <xf numFmtId="1" fontId="10" fillId="12" borderId="1" xfId="0" applyNumberFormat="1" applyFont="1" applyFill="1" applyBorder="1" applyAlignment="1">
      <alignment horizontal="right" vertical="center"/>
    </xf>
    <xf numFmtId="0" fontId="4" fillId="2" borderId="0" xfId="0" applyFont="1" applyFill="1" applyAlignment="1">
      <alignment horizontal="left" vertical="center" wrapText="1"/>
    </xf>
    <xf numFmtId="0" fontId="2" fillId="2" borderId="24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3" fillId="2" borderId="10" xfId="2" applyFont="1" applyFill="1" applyBorder="1" applyAlignment="1">
      <alignment horizontal="center"/>
    </xf>
    <xf numFmtId="0" fontId="3" fillId="2" borderId="11" xfId="2" applyFont="1" applyFill="1" applyBorder="1" applyAlignment="1">
      <alignment horizontal="center"/>
    </xf>
    <xf numFmtId="0" fontId="3" fillId="2" borderId="12" xfId="2" applyFont="1" applyFill="1" applyBorder="1" applyAlignment="1">
      <alignment horizontal="center"/>
    </xf>
    <xf numFmtId="0" fontId="3" fillId="2" borderId="21" xfId="2" applyFont="1" applyFill="1" applyBorder="1" applyAlignment="1">
      <alignment horizontal="center"/>
    </xf>
    <xf numFmtId="0" fontId="3" fillId="2" borderId="22" xfId="2" applyFont="1" applyFill="1" applyBorder="1" applyAlignment="1">
      <alignment horizontal="center"/>
    </xf>
    <xf numFmtId="0" fontId="3" fillId="2" borderId="23" xfId="2" applyFont="1" applyFill="1" applyBorder="1" applyAlignment="1">
      <alignment horizontal="center"/>
    </xf>
    <xf numFmtId="0" fontId="18" fillId="2" borderId="48" xfId="0" applyFont="1" applyFill="1" applyBorder="1" applyAlignment="1">
      <alignment horizontal="center"/>
    </xf>
    <xf numFmtId="0" fontId="18" fillId="2" borderId="47" xfId="0" applyFont="1" applyFill="1" applyBorder="1" applyAlignment="1">
      <alignment horizontal="center"/>
    </xf>
    <xf numFmtId="0" fontId="18" fillId="2" borderId="45" xfId="0" applyFont="1" applyFill="1" applyBorder="1" applyAlignment="1">
      <alignment horizontal="center"/>
    </xf>
    <xf numFmtId="0" fontId="3" fillId="2" borderId="61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24" fillId="6" borderId="21" xfId="0" applyFont="1" applyFill="1" applyBorder="1" applyAlignment="1">
      <alignment horizontal="center"/>
    </xf>
    <xf numFmtId="0" fontId="24" fillId="6" borderId="22" xfId="0" applyFont="1" applyFill="1" applyBorder="1" applyAlignment="1">
      <alignment horizontal="center"/>
    </xf>
    <xf numFmtId="0" fontId="24" fillId="6" borderId="23" xfId="0" applyFont="1" applyFill="1" applyBorder="1" applyAlignment="1">
      <alignment horizontal="center"/>
    </xf>
    <xf numFmtId="0" fontId="3" fillId="6" borderId="21" xfId="0" applyFont="1" applyFill="1" applyBorder="1" applyAlignment="1">
      <alignment horizontal="center"/>
    </xf>
    <xf numFmtId="0" fontId="3" fillId="6" borderId="22" xfId="0" applyFont="1" applyFill="1" applyBorder="1" applyAlignment="1">
      <alignment horizontal="center"/>
    </xf>
    <xf numFmtId="0" fontId="3" fillId="6" borderId="23" xfId="0" applyFont="1" applyFill="1" applyBorder="1" applyAlignment="1">
      <alignment horizontal="center"/>
    </xf>
    <xf numFmtId="0" fontId="31" fillId="2" borderId="14" xfId="10" applyFont="1" applyFill="1" applyBorder="1" applyAlignment="1">
      <alignment horizontal="center"/>
    </xf>
  </cellXfs>
  <cellStyles count="11">
    <cellStyle name="Comma" xfId="7" builtinId="3"/>
    <cellStyle name="Comma 2" xfId="5" xr:uid="{F14A28BA-54AD-4C18-AA67-8C727FD678C0}"/>
    <cellStyle name="Comma 3" xfId="4" xr:uid="{61D119DA-521F-492F-A1CB-5E4BE4C3B0C2}"/>
    <cellStyle name="Currency" xfId="6" builtinId="4"/>
    <cellStyle name="Good 2" xfId="9" xr:uid="{A7FAB988-AF46-44F1-8620-E5AE4CA96AD6}"/>
    <cellStyle name="Neutral 2" xfId="8" xr:uid="{A40226B9-0A63-4FCE-B168-9B7E89B0272E}"/>
    <cellStyle name="Normal" xfId="0" builtinId="0"/>
    <cellStyle name="Normal 3" xfId="2" xr:uid="{3D582B39-35F7-4144-BB67-E1AE88EB9792}"/>
    <cellStyle name="Normal_Fig12-15" xfId="10" xr:uid="{FF467752-633C-4BB8-9C14-4AFF86EF14AB}"/>
    <cellStyle name="Percent" xfId="1" builtinId="5"/>
    <cellStyle name="Percent 2" xfId="3" xr:uid="{60D18AF0-991B-43C6-B6F8-A6326D07B3B2}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Demand</a:t>
            </a:r>
          </a:p>
          <a:p>
            <a:pPr>
              <a:defRPr/>
            </a:pPr>
            <a:endParaRPr lang="en-US"/>
          </a:p>
        </c:rich>
      </c:tx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'5'!$F$5:$F$40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'5'!$G$5:$G$40</c:f>
              <c:numCache>
                <c:formatCode>0</c:formatCode>
                <c:ptCount val="36"/>
                <c:pt idx="0">
                  <c:v>105</c:v>
                </c:pt>
                <c:pt idx="1">
                  <c:v>78</c:v>
                </c:pt>
                <c:pt idx="2">
                  <c:v>125</c:v>
                </c:pt>
                <c:pt idx="3">
                  <c:v>141</c:v>
                </c:pt>
                <c:pt idx="4">
                  <c:v>130</c:v>
                </c:pt>
                <c:pt idx="5">
                  <c:v>97</c:v>
                </c:pt>
                <c:pt idx="6">
                  <c:v>139</c:v>
                </c:pt>
                <c:pt idx="7">
                  <c:v>174</c:v>
                </c:pt>
                <c:pt idx="8">
                  <c:v>139</c:v>
                </c:pt>
                <c:pt idx="9">
                  <c:v>127</c:v>
                </c:pt>
                <c:pt idx="10">
                  <c:v>148</c:v>
                </c:pt>
                <c:pt idx="11">
                  <c:v>200</c:v>
                </c:pt>
                <c:pt idx="12" formatCode="General">
                  <c:v>155</c:v>
                </c:pt>
                <c:pt idx="13" formatCode="General">
                  <c:v>143</c:v>
                </c:pt>
                <c:pt idx="14" formatCode="General">
                  <c:v>173</c:v>
                </c:pt>
                <c:pt idx="15" formatCode="General">
                  <c:v>219</c:v>
                </c:pt>
                <c:pt idx="16" formatCode="General">
                  <c:v>188</c:v>
                </c:pt>
                <c:pt idx="17" formatCode="General">
                  <c:v>154</c:v>
                </c:pt>
                <c:pt idx="18" formatCode="General">
                  <c:v>204</c:v>
                </c:pt>
                <c:pt idx="19" formatCode="General">
                  <c:v>233</c:v>
                </c:pt>
                <c:pt idx="20" formatCode="General">
                  <c:v>197</c:v>
                </c:pt>
                <c:pt idx="21" formatCode="General">
                  <c:v>160</c:v>
                </c:pt>
                <c:pt idx="22" formatCode="General">
                  <c:v>209</c:v>
                </c:pt>
                <c:pt idx="23" formatCode="General">
                  <c:v>263</c:v>
                </c:pt>
                <c:pt idx="24">
                  <c:v>230</c:v>
                </c:pt>
                <c:pt idx="25">
                  <c:v>178</c:v>
                </c:pt>
                <c:pt idx="26">
                  <c:v>243</c:v>
                </c:pt>
                <c:pt idx="27">
                  <c:v>285</c:v>
                </c:pt>
                <c:pt idx="28">
                  <c:v>243</c:v>
                </c:pt>
                <c:pt idx="29">
                  <c:v>209</c:v>
                </c:pt>
                <c:pt idx="30">
                  <c:v>249</c:v>
                </c:pt>
                <c:pt idx="31">
                  <c:v>305</c:v>
                </c:pt>
                <c:pt idx="32">
                  <c:v>264</c:v>
                </c:pt>
                <c:pt idx="33">
                  <c:v>216</c:v>
                </c:pt>
                <c:pt idx="34">
                  <c:v>272</c:v>
                </c:pt>
                <c:pt idx="35">
                  <c:v>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CC-4690-8AD3-91B04F6C8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2709904"/>
        <c:axId val="602711312"/>
      </c:lineChart>
      <c:catAx>
        <c:axId val="60270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02711312"/>
        <c:crosses val="autoZero"/>
        <c:auto val="1"/>
        <c:lblAlgn val="ctr"/>
        <c:lblOffset val="100"/>
        <c:noMultiLvlLbl val="0"/>
      </c:catAx>
      <c:valAx>
        <c:axId val="60271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02709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817607174103236"/>
                  <c:y val="-8.81481481481481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'28'!$D$8:$D$47</c:f>
              <c:numCache>
                <c:formatCode>General</c:formatCode>
                <c:ptCount val="40"/>
                <c:pt idx="0">
                  <c:v>641</c:v>
                </c:pt>
                <c:pt idx="1">
                  <c:v>59</c:v>
                </c:pt>
                <c:pt idx="2">
                  <c:v>168</c:v>
                </c:pt>
                <c:pt idx="3">
                  <c:v>302</c:v>
                </c:pt>
                <c:pt idx="4">
                  <c:v>12</c:v>
                </c:pt>
                <c:pt idx="5">
                  <c:v>597</c:v>
                </c:pt>
                <c:pt idx="6">
                  <c:v>272</c:v>
                </c:pt>
                <c:pt idx="7">
                  <c:v>12</c:v>
                </c:pt>
                <c:pt idx="8">
                  <c:v>437</c:v>
                </c:pt>
                <c:pt idx="9">
                  <c:v>1107</c:v>
                </c:pt>
                <c:pt idx="10">
                  <c:v>302</c:v>
                </c:pt>
                <c:pt idx="11">
                  <c:v>782</c:v>
                </c:pt>
                <c:pt idx="12">
                  <c:v>107</c:v>
                </c:pt>
                <c:pt idx="13">
                  <c:v>244</c:v>
                </c:pt>
                <c:pt idx="14">
                  <c:v>686</c:v>
                </c:pt>
                <c:pt idx="15">
                  <c:v>1049</c:v>
                </c:pt>
                <c:pt idx="16">
                  <c:v>333</c:v>
                </c:pt>
                <c:pt idx="17">
                  <c:v>832</c:v>
                </c:pt>
                <c:pt idx="18">
                  <c:v>126</c:v>
                </c:pt>
                <c:pt idx="19">
                  <c:v>782</c:v>
                </c:pt>
                <c:pt idx="20">
                  <c:v>59</c:v>
                </c:pt>
                <c:pt idx="21">
                  <c:v>686</c:v>
                </c:pt>
                <c:pt idx="22">
                  <c:v>126</c:v>
                </c:pt>
                <c:pt idx="23">
                  <c:v>126</c:v>
                </c:pt>
                <c:pt idx="24">
                  <c:v>26</c:v>
                </c:pt>
                <c:pt idx="25">
                  <c:v>168</c:v>
                </c:pt>
                <c:pt idx="26">
                  <c:v>555</c:v>
                </c:pt>
                <c:pt idx="27">
                  <c:v>366</c:v>
                </c:pt>
                <c:pt idx="28">
                  <c:v>884</c:v>
                </c:pt>
                <c:pt idx="29">
                  <c:v>126</c:v>
                </c:pt>
                <c:pt idx="30">
                  <c:v>1049</c:v>
                </c:pt>
                <c:pt idx="31">
                  <c:v>832</c:v>
                </c:pt>
                <c:pt idx="32">
                  <c:v>192</c:v>
                </c:pt>
                <c:pt idx="33">
                  <c:v>244</c:v>
                </c:pt>
                <c:pt idx="34">
                  <c:v>884</c:v>
                </c:pt>
                <c:pt idx="35">
                  <c:v>217</c:v>
                </c:pt>
                <c:pt idx="36">
                  <c:v>333</c:v>
                </c:pt>
                <c:pt idx="37">
                  <c:v>782</c:v>
                </c:pt>
                <c:pt idx="38">
                  <c:v>59</c:v>
                </c:pt>
                <c:pt idx="39">
                  <c:v>4</c:v>
                </c:pt>
              </c:numCache>
            </c:numRef>
          </c:xVal>
          <c:yVal>
            <c:numRef>
              <c:f>'28'!$F$8:$F$47</c:f>
              <c:numCache>
                <c:formatCode>General</c:formatCode>
                <c:ptCount val="40"/>
                <c:pt idx="0">
                  <c:v>1300</c:v>
                </c:pt>
                <c:pt idx="1">
                  <c:v>3600</c:v>
                </c:pt>
                <c:pt idx="2">
                  <c:v>2800</c:v>
                </c:pt>
                <c:pt idx="3">
                  <c:v>2100</c:v>
                </c:pt>
                <c:pt idx="4">
                  <c:v>3900</c:v>
                </c:pt>
                <c:pt idx="5">
                  <c:v>1400</c:v>
                </c:pt>
                <c:pt idx="6">
                  <c:v>2200</c:v>
                </c:pt>
                <c:pt idx="7">
                  <c:v>3900</c:v>
                </c:pt>
                <c:pt idx="8">
                  <c:v>1600</c:v>
                </c:pt>
                <c:pt idx="9">
                  <c:v>100</c:v>
                </c:pt>
                <c:pt idx="10">
                  <c:v>2100</c:v>
                </c:pt>
                <c:pt idx="11">
                  <c:v>1000</c:v>
                </c:pt>
                <c:pt idx="12">
                  <c:v>3300</c:v>
                </c:pt>
                <c:pt idx="13">
                  <c:v>2400</c:v>
                </c:pt>
                <c:pt idx="14">
                  <c:v>1200</c:v>
                </c:pt>
                <c:pt idx="15">
                  <c:v>300</c:v>
                </c:pt>
                <c:pt idx="16">
                  <c:v>1900</c:v>
                </c:pt>
                <c:pt idx="17">
                  <c:v>700</c:v>
                </c:pt>
                <c:pt idx="18">
                  <c:v>3200</c:v>
                </c:pt>
                <c:pt idx="19">
                  <c:v>1000</c:v>
                </c:pt>
                <c:pt idx="20">
                  <c:v>3600</c:v>
                </c:pt>
                <c:pt idx="21">
                  <c:v>1200</c:v>
                </c:pt>
                <c:pt idx="22">
                  <c:v>3200</c:v>
                </c:pt>
                <c:pt idx="23">
                  <c:v>3200</c:v>
                </c:pt>
                <c:pt idx="24">
                  <c:v>3700</c:v>
                </c:pt>
                <c:pt idx="25">
                  <c:v>2800</c:v>
                </c:pt>
                <c:pt idx="26">
                  <c:v>1500</c:v>
                </c:pt>
                <c:pt idx="27">
                  <c:v>1700</c:v>
                </c:pt>
                <c:pt idx="28">
                  <c:v>500</c:v>
                </c:pt>
                <c:pt idx="29">
                  <c:v>3200</c:v>
                </c:pt>
                <c:pt idx="30">
                  <c:v>300</c:v>
                </c:pt>
                <c:pt idx="31">
                  <c:v>700</c:v>
                </c:pt>
                <c:pt idx="32">
                  <c:v>2600</c:v>
                </c:pt>
                <c:pt idx="33">
                  <c:v>2400</c:v>
                </c:pt>
                <c:pt idx="34">
                  <c:v>500</c:v>
                </c:pt>
                <c:pt idx="35">
                  <c:v>2500</c:v>
                </c:pt>
                <c:pt idx="36">
                  <c:v>1900</c:v>
                </c:pt>
                <c:pt idx="37">
                  <c:v>1000</c:v>
                </c:pt>
                <c:pt idx="38">
                  <c:v>3600</c:v>
                </c:pt>
                <c:pt idx="39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15-7548-9DF7-CB39C8FA6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8876432"/>
        <c:axId val="318878144"/>
      </c:scatterChart>
      <c:valAx>
        <c:axId val="31887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318878144"/>
        <c:crosses val="autoZero"/>
        <c:crossBetween val="midCat"/>
      </c:valAx>
      <c:valAx>
        <c:axId val="31887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318876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3625940507436571"/>
                  <c:y val="5.32407407407407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'28'!$D$8:$D$47</c:f>
              <c:numCache>
                <c:formatCode>General</c:formatCode>
                <c:ptCount val="40"/>
                <c:pt idx="0">
                  <c:v>641</c:v>
                </c:pt>
                <c:pt idx="1">
                  <c:v>59</c:v>
                </c:pt>
                <c:pt idx="2">
                  <c:v>168</c:v>
                </c:pt>
                <c:pt idx="3">
                  <c:v>302</c:v>
                </c:pt>
                <c:pt idx="4">
                  <c:v>12</c:v>
                </c:pt>
                <c:pt idx="5">
                  <c:v>597</c:v>
                </c:pt>
                <c:pt idx="6">
                  <c:v>272</c:v>
                </c:pt>
                <c:pt idx="7">
                  <c:v>12</c:v>
                </c:pt>
                <c:pt idx="8">
                  <c:v>437</c:v>
                </c:pt>
                <c:pt idx="9">
                  <c:v>1107</c:v>
                </c:pt>
                <c:pt idx="10">
                  <c:v>302</c:v>
                </c:pt>
                <c:pt idx="11">
                  <c:v>782</c:v>
                </c:pt>
                <c:pt idx="12">
                  <c:v>107</c:v>
                </c:pt>
                <c:pt idx="13">
                  <c:v>244</c:v>
                </c:pt>
                <c:pt idx="14">
                  <c:v>686</c:v>
                </c:pt>
                <c:pt idx="15">
                  <c:v>1049</c:v>
                </c:pt>
                <c:pt idx="16">
                  <c:v>333</c:v>
                </c:pt>
                <c:pt idx="17">
                  <c:v>832</c:v>
                </c:pt>
                <c:pt idx="18">
                  <c:v>126</c:v>
                </c:pt>
                <c:pt idx="19">
                  <c:v>782</c:v>
                </c:pt>
                <c:pt idx="20">
                  <c:v>59</c:v>
                </c:pt>
                <c:pt idx="21">
                  <c:v>686</c:v>
                </c:pt>
                <c:pt idx="22">
                  <c:v>126</c:v>
                </c:pt>
                <c:pt idx="23">
                  <c:v>126</c:v>
                </c:pt>
                <c:pt idx="24">
                  <c:v>26</c:v>
                </c:pt>
                <c:pt idx="25">
                  <c:v>168</c:v>
                </c:pt>
                <c:pt idx="26">
                  <c:v>555</c:v>
                </c:pt>
                <c:pt idx="27">
                  <c:v>366</c:v>
                </c:pt>
                <c:pt idx="28">
                  <c:v>884</c:v>
                </c:pt>
                <c:pt idx="29">
                  <c:v>126</c:v>
                </c:pt>
                <c:pt idx="30">
                  <c:v>1049</c:v>
                </c:pt>
                <c:pt idx="31">
                  <c:v>832</c:v>
                </c:pt>
                <c:pt idx="32">
                  <c:v>192</c:v>
                </c:pt>
                <c:pt idx="33">
                  <c:v>244</c:v>
                </c:pt>
                <c:pt idx="34">
                  <c:v>884</c:v>
                </c:pt>
                <c:pt idx="35">
                  <c:v>217</c:v>
                </c:pt>
                <c:pt idx="36">
                  <c:v>333</c:v>
                </c:pt>
                <c:pt idx="37">
                  <c:v>782</c:v>
                </c:pt>
                <c:pt idx="38">
                  <c:v>59</c:v>
                </c:pt>
                <c:pt idx="39">
                  <c:v>4</c:v>
                </c:pt>
              </c:numCache>
            </c:numRef>
          </c:xVal>
          <c:yVal>
            <c:numRef>
              <c:f>'28'!$F$8:$F$47</c:f>
              <c:numCache>
                <c:formatCode>General</c:formatCode>
                <c:ptCount val="40"/>
                <c:pt idx="0">
                  <c:v>1300</c:v>
                </c:pt>
                <c:pt idx="1">
                  <c:v>3600</c:v>
                </c:pt>
                <c:pt idx="2">
                  <c:v>2800</c:v>
                </c:pt>
                <c:pt idx="3">
                  <c:v>2100</c:v>
                </c:pt>
                <c:pt idx="4">
                  <c:v>3900</c:v>
                </c:pt>
                <c:pt idx="5">
                  <c:v>1400</c:v>
                </c:pt>
                <c:pt idx="6">
                  <c:v>2200</c:v>
                </c:pt>
                <c:pt idx="7">
                  <c:v>3900</c:v>
                </c:pt>
                <c:pt idx="8">
                  <c:v>1600</c:v>
                </c:pt>
                <c:pt idx="9">
                  <c:v>100</c:v>
                </c:pt>
                <c:pt idx="10">
                  <c:v>2100</c:v>
                </c:pt>
                <c:pt idx="11">
                  <c:v>1000</c:v>
                </c:pt>
                <c:pt idx="12">
                  <c:v>3300</c:v>
                </c:pt>
                <c:pt idx="13">
                  <c:v>2400</c:v>
                </c:pt>
                <c:pt idx="14">
                  <c:v>1200</c:v>
                </c:pt>
                <c:pt idx="15">
                  <c:v>300</c:v>
                </c:pt>
                <c:pt idx="16">
                  <c:v>1900</c:v>
                </c:pt>
                <c:pt idx="17">
                  <c:v>700</c:v>
                </c:pt>
                <c:pt idx="18">
                  <c:v>3200</c:v>
                </c:pt>
                <c:pt idx="19">
                  <c:v>1000</c:v>
                </c:pt>
                <c:pt idx="20">
                  <c:v>3600</c:v>
                </c:pt>
                <c:pt idx="21">
                  <c:v>1200</c:v>
                </c:pt>
                <c:pt idx="22">
                  <c:v>3200</c:v>
                </c:pt>
                <c:pt idx="23">
                  <c:v>3200</c:v>
                </c:pt>
                <c:pt idx="24">
                  <c:v>3700</c:v>
                </c:pt>
                <c:pt idx="25">
                  <c:v>2800</c:v>
                </c:pt>
                <c:pt idx="26">
                  <c:v>1500</c:v>
                </c:pt>
                <c:pt idx="27">
                  <c:v>1700</c:v>
                </c:pt>
                <c:pt idx="28">
                  <c:v>500</c:v>
                </c:pt>
                <c:pt idx="29">
                  <c:v>3200</c:v>
                </c:pt>
                <c:pt idx="30">
                  <c:v>300</c:v>
                </c:pt>
                <c:pt idx="31">
                  <c:v>700</c:v>
                </c:pt>
                <c:pt idx="32">
                  <c:v>2600</c:v>
                </c:pt>
                <c:pt idx="33">
                  <c:v>2400</c:v>
                </c:pt>
                <c:pt idx="34">
                  <c:v>500</c:v>
                </c:pt>
                <c:pt idx="35">
                  <c:v>2500</c:v>
                </c:pt>
                <c:pt idx="36">
                  <c:v>1900</c:v>
                </c:pt>
                <c:pt idx="37">
                  <c:v>1000</c:v>
                </c:pt>
                <c:pt idx="38">
                  <c:v>3600</c:v>
                </c:pt>
                <c:pt idx="39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4-034E-B200-F03026B04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8876432"/>
        <c:axId val="318878144"/>
      </c:scatterChart>
      <c:valAx>
        <c:axId val="31887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318878144"/>
        <c:crosses val="autoZero"/>
        <c:crossBetween val="midCat"/>
      </c:valAx>
      <c:valAx>
        <c:axId val="31887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318876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9" Type="http://schemas.openxmlformats.org/officeDocument/2006/relationships/customXml" Target="../ink/ink7.xml"/><Relationship Id="rId51" Type="http://schemas.openxmlformats.org/officeDocument/2006/relationships/customXml" Target="../ink/ink19.xml"/><Relationship Id="rId34" Type="http://schemas.openxmlformats.org/officeDocument/2006/relationships/customXml" Target="../ink/ink2.xml"/><Relationship Id="rId42" Type="http://schemas.openxmlformats.org/officeDocument/2006/relationships/customXml" Target="../ink/ink10.xml"/><Relationship Id="rId47" Type="http://schemas.openxmlformats.org/officeDocument/2006/relationships/customXml" Target="../ink/ink15.xml"/><Relationship Id="rId50" Type="http://schemas.openxmlformats.org/officeDocument/2006/relationships/customXml" Target="../ink/ink18.xml"/><Relationship Id="rId55" Type="http://schemas.openxmlformats.org/officeDocument/2006/relationships/customXml" Target="../ink/ink23.xml"/><Relationship Id="rId33" Type="http://schemas.openxmlformats.org/officeDocument/2006/relationships/image" Target="NULL"/><Relationship Id="rId38" Type="http://schemas.openxmlformats.org/officeDocument/2006/relationships/customXml" Target="../ink/ink6.xml"/><Relationship Id="rId46" Type="http://schemas.openxmlformats.org/officeDocument/2006/relationships/customXml" Target="../ink/ink14.xml"/><Relationship Id="rId41" Type="http://schemas.openxmlformats.org/officeDocument/2006/relationships/customXml" Target="../ink/ink9.xml"/><Relationship Id="rId54" Type="http://schemas.openxmlformats.org/officeDocument/2006/relationships/customXml" Target="../ink/ink22.xml"/><Relationship Id="rId1" Type="http://schemas.openxmlformats.org/officeDocument/2006/relationships/customXml" Target="../ink/ink1.xml"/><Relationship Id="rId37" Type="http://schemas.openxmlformats.org/officeDocument/2006/relationships/customXml" Target="../ink/ink5.xml"/><Relationship Id="rId40" Type="http://schemas.openxmlformats.org/officeDocument/2006/relationships/customXml" Target="../ink/ink8.xml"/><Relationship Id="rId45" Type="http://schemas.openxmlformats.org/officeDocument/2006/relationships/customXml" Target="../ink/ink13.xml"/><Relationship Id="rId53" Type="http://schemas.openxmlformats.org/officeDocument/2006/relationships/customXml" Target="../ink/ink21.xml"/><Relationship Id="rId58" Type="http://schemas.openxmlformats.org/officeDocument/2006/relationships/customXml" Target="../ink/ink26.xml"/><Relationship Id="rId36" Type="http://schemas.openxmlformats.org/officeDocument/2006/relationships/customXml" Target="../ink/ink4.xml"/><Relationship Id="rId49" Type="http://schemas.openxmlformats.org/officeDocument/2006/relationships/customXml" Target="../ink/ink17.xml"/><Relationship Id="rId57" Type="http://schemas.openxmlformats.org/officeDocument/2006/relationships/customXml" Target="../ink/ink25.xml"/><Relationship Id="rId44" Type="http://schemas.openxmlformats.org/officeDocument/2006/relationships/customXml" Target="../ink/ink12.xml"/><Relationship Id="rId52" Type="http://schemas.openxmlformats.org/officeDocument/2006/relationships/customXml" Target="../ink/ink20.xml"/><Relationship Id="rId35" Type="http://schemas.openxmlformats.org/officeDocument/2006/relationships/customXml" Target="../ink/ink3.xml"/><Relationship Id="rId43" Type="http://schemas.openxmlformats.org/officeDocument/2006/relationships/customXml" Target="../ink/ink11.xml"/><Relationship Id="rId48" Type="http://schemas.openxmlformats.org/officeDocument/2006/relationships/customXml" Target="../ink/ink16.xml"/><Relationship Id="rId56" Type="http://schemas.openxmlformats.org/officeDocument/2006/relationships/customXml" Target="../ink/ink24.xml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111.xml"/><Relationship Id="rId42" Type="http://schemas.openxmlformats.org/officeDocument/2006/relationships/customXml" Target="../ink/ink36.xml"/><Relationship Id="rId47" Type="http://schemas.openxmlformats.org/officeDocument/2006/relationships/customXml" Target="../ink/ink41.xml"/><Relationship Id="rId63" Type="http://schemas.openxmlformats.org/officeDocument/2006/relationships/customXml" Target="../ink/ink57.xml"/><Relationship Id="rId68" Type="http://schemas.openxmlformats.org/officeDocument/2006/relationships/customXml" Target="../ink/ink62.xml"/><Relationship Id="rId84" Type="http://schemas.openxmlformats.org/officeDocument/2006/relationships/customXml" Target="../ink/ink78.xml"/><Relationship Id="rId89" Type="http://schemas.openxmlformats.org/officeDocument/2006/relationships/customXml" Target="../ink/ink83.xml"/><Relationship Id="rId112" Type="http://schemas.openxmlformats.org/officeDocument/2006/relationships/customXml" Target="../ink/ink106.xml"/><Relationship Id="rId107" Type="http://schemas.openxmlformats.org/officeDocument/2006/relationships/customXml" Target="../ink/ink101.xml"/><Relationship Id="rId37" Type="http://schemas.openxmlformats.org/officeDocument/2006/relationships/customXml" Target="../ink/ink31.xml"/><Relationship Id="rId53" Type="http://schemas.openxmlformats.org/officeDocument/2006/relationships/customXml" Target="../ink/ink47.xml"/><Relationship Id="rId58" Type="http://schemas.openxmlformats.org/officeDocument/2006/relationships/customXml" Target="../ink/ink52.xml"/><Relationship Id="rId74" Type="http://schemas.openxmlformats.org/officeDocument/2006/relationships/customXml" Target="../ink/ink68.xml"/><Relationship Id="rId79" Type="http://schemas.openxmlformats.org/officeDocument/2006/relationships/customXml" Target="../ink/ink73.xml"/><Relationship Id="rId102" Type="http://schemas.openxmlformats.org/officeDocument/2006/relationships/customXml" Target="../ink/ink96.xml"/><Relationship Id="rId123" Type="http://schemas.openxmlformats.org/officeDocument/2006/relationships/customXml" Target="../ink/ink117.xml"/><Relationship Id="rId128" Type="http://schemas.openxmlformats.org/officeDocument/2006/relationships/customXml" Target="../ink/ink122.xml"/><Relationship Id="rId90" Type="http://schemas.openxmlformats.org/officeDocument/2006/relationships/customXml" Target="../ink/ink84.xml"/><Relationship Id="rId95" Type="http://schemas.openxmlformats.org/officeDocument/2006/relationships/customXml" Target="../ink/ink89.xml"/><Relationship Id="rId43" Type="http://schemas.openxmlformats.org/officeDocument/2006/relationships/customXml" Target="../ink/ink37.xml"/><Relationship Id="rId48" Type="http://schemas.openxmlformats.org/officeDocument/2006/relationships/customXml" Target="../ink/ink42.xml"/><Relationship Id="rId64" Type="http://schemas.openxmlformats.org/officeDocument/2006/relationships/customXml" Target="../ink/ink58.xml"/><Relationship Id="rId69" Type="http://schemas.openxmlformats.org/officeDocument/2006/relationships/customXml" Target="../ink/ink63.xml"/><Relationship Id="rId113" Type="http://schemas.openxmlformats.org/officeDocument/2006/relationships/customXml" Target="../ink/ink107.xml"/><Relationship Id="rId118" Type="http://schemas.openxmlformats.org/officeDocument/2006/relationships/customXml" Target="../ink/ink112.xml"/><Relationship Id="rId80" Type="http://schemas.openxmlformats.org/officeDocument/2006/relationships/customXml" Target="../ink/ink74.xml"/><Relationship Id="rId85" Type="http://schemas.openxmlformats.org/officeDocument/2006/relationships/customXml" Target="../ink/ink79.xml"/><Relationship Id="rId33" Type="http://schemas.openxmlformats.org/officeDocument/2006/relationships/image" Target="NULL"/><Relationship Id="rId38" Type="http://schemas.openxmlformats.org/officeDocument/2006/relationships/customXml" Target="../ink/ink32.xml"/><Relationship Id="rId46" Type="http://schemas.openxmlformats.org/officeDocument/2006/relationships/customXml" Target="../ink/ink40.xml"/><Relationship Id="rId59" Type="http://schemas.openxmlformats.org/officeDocument/2006/relationships/customXml" Target="../ink/ink53.xml"/><Relationship Id="rId67" Type="http://schemas.openxmlformats.org/officeDocument/2006/relationships/customXml" Target="../ink/ink61.xml"/><Relationship Id="rId103" Type="http://schemas.openxmlformats.org/officeDocument/2006/relationships/customXml" Target="../ink/ink97.xml"/><Relationship Id="rId108" Type="http://schemas.openxmlformats.org/officeDocument/2006/relationships/customXml" Target="../ink/ink102.xml"/><Relationship Id="rId116" Type="http://schemas.openxmlformats.org/officeDocument/2006/relationships/customXml" Target="../ink/ink110.xml"/><Relationship Id="rId124" Type="http://schemas.openxmlformats.org/officeDocument/2006/relationships/customXml" Target="../ink/ink118.xml"/><Relationship Id="rId41" Type="http://schemas.openxmlformats.org/officeDocument/2006/relationships/customXml" Target="../ink/ink35.xml"/><Relationship Id="rId54" Type="http://schemas.openxmlformats.org/officeDocument/2006/relationships/customXml" Target="../ink/ink48.xml"/><Relationship Id="rId62" Type="http://schemas.openxmlformats.org/officeDocument/2006/relationships/customXml" Target="../ink/ink56.xml"/><Relationship Id="rId70" Type="http://schemas.openxmlformats.org/officeDocument/2006/relationships/customXml" Target="../ink/ink64.xml"/><Relationship Id="rId75" Type="http://schemas.openxmlformats.org/officeDocument/2006/relationships/customXml" Target="../ink/ink69.xml"/><Relationship Id="rId83" Type="http://schemas.openxmlformats.org/officeDocument/2006/relationships/customXml" Target="../ink/ink77.xml"/><Relationship Id="rId88" Type="http://schemas.openxmlformats.org/officeDocument/2006/relationships/customXml" Target="../ink/ink82.xml"/><Relationship Id="rId91" Type="http://schemas.openxmlformats.org/officeDocument/2006/relationships/customXml" Target="../ink/ink85.xml"/><Relationship Id="rId96" Type="http://schemas.openxmlformats.org/officeDocument/2006/relationships/customXml" Target="../ink/ink90.xml"/><Relationship Id="rId111" Type="http://schemas.openxmlformats.org/officeDocument/2006/relationships/customXml" Target="../ink/ink105.xml"/><Relationship Id="rId1" Type="http://schemas.openxmlformats.org/officeDocument/2006/relationships/customXml" Target="../ink/ink27.xml"/><Relationship Id="rId36" Type="http://schemas.openxmlformats.org/officeDocument/2006/relationships/customXml" Target="../ink/ink30.xml"/><Relationship Id="rId49" Type="http://schemas.openxmlformats.org/officeDocument/2006/relationships/customXml" Target="../ink/ink43.xml"/><Relationship Id="rId57" Type="http://schemas.openxmlformats.org/officeDocument/2006/relationships/customXml" Target="../ink/ink51.xml"/><Relationship Id="rId106" Type="http://schemas.openxmlformats.org/officeDocument/2006/relationships/customXml" Target="../ink/ink100.xml"/><Relationship Id="rId114" Type="http://schemas.openxmlformats.org/officeDocument/2006/relationships/customXml" Target="../ink/ink108.xml"/><Relationship Id="rId119" Type="http://schemas.openxmlformats.org/officeDocument/2006/relationships/customXml" Target="../ink/ink113.xml"/><Relationship Id="rId127" Type="http://schemas.openxmlformats.org/officeDocument/2006/relationships/customXml" Target="../ink/ink121.xml"/><Relationship Id="rId44" Type="http://schemas.openxmlformats.org/officeDocument/2006/relationships/customXml" Target="../ink/ink38.xml"/><Relationship Id="rId52" Type="http://schemas.openxmlformats.org/officeDocument/2006/relationships/customXml" Target="../ink/ink46.xml"/><Relationship Id="rId60" Type="http://schemas.openxmlformats.org/officeDocument/2006/relationships/customXml" Target="../ink/ink54.xml"/><Relationship Id="rId65" Type="http://schemas.openxmlformats.org/officeDocument/2006/relationships/customXml" Target="../ink/ink59.xml"/><Relationship Id="rId73" Type="http://schemas.openxmlformats.org/officeDocument/2006/relationships/customXml" Target="../ink/ink67.xml"/><Relationship Id="rId78" Type="http://schemas.openxmlformats.org/officeDocument/2006/relationships/customXml" Target="../ink/ink72.xml"/><Relationship Id="rId81" Type="http://schemas.openxmlformats.org/officeDocument/2006/relationships/customXml" Target="../ink/ink75.xml"/><Relationship Id="rId86" Type="http://schemas.openxmlformats.org/officeDocument/2006/relationships/customXml" Target="../ink/ink80.xml"/><Relationship Id="rId94" Type="http://schemas.openxmlformats.org/officeDocument/2006/relationships/customXml" Target="../ink/ink88.xml"/><Relationship Id="rId99" Type="http://schemas.openxmlformats.org/officeDocument/2006/relationships/customXml" Target="../ink/ink93.xml"/><Relationship Id="rId101" Type="http://schemas.openxmlformats.org/officeDocument/2006/relationships/customXml" Target="../ink/ink95.xml"/><Relationship Id="rId122" Type="http://schemas.openxmlformats.org/officeDocument/2006/relationships/customXml" Target="../ink/ink116.xml"/><Relationship Id="rId39" Type="http://schemas.openxmlformats.org/officeDocument/2006/relationships/customXml" Target="../ink/ink33.xml"/><Relationship Id="rId109" Type="http://schemas.openxmlformats.org/officeDocument/2006/relationships/customXml" Target="../ink/ink103.xml"/><Relationship Id="rId34" Type="http://schemas.openxmlformats.org/officeDocument/2006/relationships/customXml" Target="../ink/ink28.xml"/><Relationship Id="rId50" Type="http://schemas.openxmlformats.org/officeDocument/2006/relationships/customXml" Target="../ink/ink44.xml"/><Relationship Id="rId55" Type="http://schemas.openxmlformats.org/officeDocument/2006/relationships/customXml" Target="../ink/ink49.xml"/><Relationship Id="rId76" Type="http://schemas.openxmlformats.org/officeDocument/2006/relationships/customXml" Target="../ink/ink70.xml"/><Relationship Id="rId97" Type="http://schemas.openxmlformats.org/officeDocument/2006/relationships/customXml" Target="../ink/ink91.xml"/><Relationship Id="rId104" Type="http://schemas.openxmlformats.org/officeDocument/2006/relationships/customXml" Target="../ink/ink98.xml"/><Relationship Id="rId120" Type="http://schemas.openxmlformats.org/officeDocument/2006/relationships/customXml" Target="../ink/ink114.xml"/><Relationship Id="rId125" Type="http://schemas.openxmlformats.org/officeDocument/2006/relationships/customXml" Target="../ink/ink119.xml"/><Relationship Id="rId71" Type="http://schemas.openxmlformats.org/officeDocument/2006/relationships/customXml" Target="../ink/ink65.xml"/><Relationship Id="rId92" Type="http://schemas.openxmlformats.org/officeDocument/2006/relationships/customXml" Target="../ink/ink86.xml"/><Relationship Id="rId40" Type="http://schemas.openxmlformats.org/officeDocument/2006/relationships/customXml" Target="../ink/ink34.xml"/><Relationship Id="rId45" Type="http://schemas.openxmlformats.org/officeDocument/2006/relationships/customXml" Target="../ink/ink39.xml"/><Relationship Id="rId66" Type="http://schemas.openxmlformats.org/officeDocument/2006/relationships/customXml" Target="../ink/ink60.xml"/><Relationship Id="rId87" Type="http://schemas.openxmlformats.org/officeDocument/2006/relationships/customXml" Target="../ink/ink81.xml"/><Relationship Id="rId110" Type="http://schemas.openxmlformats.org/officeDocument/2006/relationships/customXml" Target="../ink/ink104.xml"/><Relationship Id="rId115" Type="http://schemas.openxmlformats.org/officeDocument/2006/relationships/customXml" Target="../ink/ink109.xml"/><Relationship Id="rId61" Type="http://schemas.openxmlformats.org/officeDocument/2006/relationships/customXml" Target="../ink/ink55.xml"/><Relationship Id="rId82" Type="http://schemas.openxmlformats.org/officeDocument/2006/relationships/customXml" Target="../ink/ink76.xml"/><Relationship Id="rId35" Type="http://schemas.openxmlformats.org/officeDocument/2006/relationships/customXml" Target="../ink/ink29.xml"/><Relationship Id="rId56" Type="http://schemas.openxmlformats.org/officeDocument/2006/relationships/customXml" Target="../ink/ink50.xml"/><Relationship Id="rId77" Type="http://schemas.openxmlformats.org/officeDocument/2006/relationships/customXml" Target="../ink/ink71.xml"/><Relationship Id="rId100" Type="http://schemas.openxmlformats.org/officeDocument/2006/relationships/customXml" Target="../ink/ink94.xml"/><Relationship Id="rId105" Type="http://schemas.openxmlformats.org/officeDocument/2006/relationships/customXml" Target="../ink/ink99.xml"/><Relationship Id="rId126" Type="http://schemas.openxmlformats.org/officeDocument/2006/relationships/customXml" Target="../ink/ink120.xml"/><Relationship Id="rId51" Type="http://schemas.openxmlformats.org/officeDocument/2006/relationships/customXml" Target="../ink/ink45.xml"/><Relationship Id="rId72" Type="http://schemas.openxmlformats.org/officeDocument/2006/relationships/customXml" Target="../ink/ink66.xml"/><Relationship Id="rId93" Type="http://schemas.openxmlformats.org/officeDocument/2006/relationships/customXml" Target="../ink/ink87.xml"/><Relationship Id="rId98" Type="http://schemas.openxmlformats.org/officeDocument/2006/relationships/customXml" Target="../ink/ink92.xml"/><Relationship Id="rId121" Type="http://schemas.openxmlformats.org/officeDocument/2006/relationships/customXml" Target="../ink/ink1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212382</xdr:colOff>
      <xdr:row>18</xdr:row>
      <xdr:rowOff>160896</xdr:rowOff>
    </xdr:from>
    <xdr:to>
      <xdr:col>20</xdr:col>
      <xdr:colOff>283176</xdr:colOff>
      <xdr:row>36</xdr:row>
      <xdr:rowOff>125413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EEBF31-7105-45D0-B466-1937A36FA4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606459</xdr:colOff>
      <xdr:row>12</xdr:row>
      <xdr:rowOff>64244</xdr:rowOff>
    </xdr:from>
    <xdr:to>
      <xdr:col>16</xdr:col>
      <xdr:colOff>156648</xdr:colOff>
      <xdr:row>31</xdr:row>
      <xdr:rowOff>15389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2A8C916-CF7E-B51A-7FEB-6D5AAA054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50848" y="2252967"/>
          <a:ext cx="6683806" cy="3416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542835</xdr:colOff>
      <xdr:row>9</xdr:row>
      <xdr:rowOff>39165</xdr:rowOff>
    </xdr:from>
    <xdr:to>
      <xdr:col>11</xdr:col>
      <xdr:colOff>543195</xdr:colOff>
      <xdr:row>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3D15EA4-7200-43E3-B643-EB5DF39E629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542835</xdr:colOff>
      <xdr:row>10</xdr:row>
      <xdr:rowOff>39165</xdr:rowOff>
    </xdr:from>
    <xdr:to>
      <xdr:col>11</xdr:col>
      <xdr:colOff>543195</xdr:colOff>
      <xdr:row>10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4E17606-BEFF-4EB8-841D-D0A0DF001D4F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542835</xdr:colOff>
      <xdr:row>11</xdr:row>
      <xdr:rowOff>39165</xdr:rowOff>
    </xdr:from>
    <xdr:to>
      <xdr:col>11</xdr:col>
      <xdr:colOff>543195</xdr:colOff>
      <xdr:row>11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21F8CC36-B647-4760-A3D7-785234209584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542835</xdr:colOff>
      <xdr:row>12</xdr:row>
      <xdr:rowOff>39165</xdr:rowOff>
    </xdr:from>
    <xdr:to>
      <xdr:col>11</xdr:col>
      <xdr:colOff>543195</xdr:colOff>
      <xdr:row>12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5A4B7E56-30C0-4C59-A64C-D40EAA7788B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542835</xdr:colOff>
      <xdr:row>13</xdr:row>
      <xdr:rowOff>39165</xdr:rowOff>
    </xdr:from>
    <xdr:to>
      <xdr:col>11</xdr:col>
      <xdr:colOff>543195</xdr:colOff>
      <xdr:row>13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D307B47B-6AE3-4D81-9C01-3445B4F25B70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14</xdr:row>
      <xdr:rowOff>39165</xdr:rowOff>
    </xdr:from>
    <xdr:to>
      <xdr:col>12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43F8F456-B0BB-4E09-9189-72F0ED9BB316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15</xdr:row>
      <xdr:rowOff>39165</xdr:rowOff>
    </xdr:from>
    <xdr:to>
      <xdr:col>12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2A0003D5-7B95-4A1C-9A1B-B2F0955E9A21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16</xdr:row>
      <xdr:rowOff>39165</xdr:rowOff>
    </xdr:from>
    <xdr:to>
      <xdr:col>12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B172F574-03AE-41E0-BAC0-88CA392331D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17</xdr:row>
      <xdr:rowOff>39165</xdr:rowOff>
    </xdr:from>
    <xdr:to>
      <xdr:col>12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769F2284-1864-479C-A638-C323F137F707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18</xdr:row>
      <xdr:rowOff>39165</xdr:rowOff>
    </xdr:from>
    <xdr:to>
      <xdr:col>12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112F71D4-7B0E-4B2E-8407-EBD525A5D58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19</xdr:row>
      <xdr:rowOff>39165</xdr:rowOff>
    </xdr:from>
    <xdr:to>
      <xdr:col>12</xdr:col>
      <xdr:colOff>543195</xdr:colOff>
      <xdr:row>19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F6F5044-82B5-41DF-980A-DCDF3CBFAFB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20</xdr:row>
      <xdr:rowOff>39165</xdr:rowOff>
    </xdr:from>
    <xdr:to>
      <xdr:col>12</xdr:col>
      <xdr:colOff>543195</xdr:colOff>
      <xdr:row>20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B9CAFB92-E228-4FA5-80A5-73F6713FC0B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21</xdr:row>
      <xdr:rowOff>39165</xdr:rowOff>
    </xdr:from>
    <xdr:to>
      <xdr:col>12</xdr:col>
      <xdr:colOff>543195</xdr:colOff>
      <xdr:row>21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EBDCF491-3C29-4062-8752-26D9568AD7DA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22</xdr:row>
      <xdr:rowOff>39165</xdr:rowOff>
    </xdr:from>
    <xdr:to>
      <xdr:col>12</xdr:col>
      <xdr:colOff>543195</xdr:colOff>
      <xdr:row>22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4F8F3721-966D-4A5A-9B37-62B1698EB85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542835</xdr:colOff>
      <xdr:row>23</xdr:row>
      <xdr:rowOff>39165</xdr:rowOff>
    </xdr:from>
    <xdr:to>
      <xdr:col>12</xdr:col>
      <xdr:colOff>543195</xdr:colOff>
      <xdr:row>23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2DCDDC28-F1CE-465D-8CBC-EC545F79E8D7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24</xdr:row>
      <xdr:rowOff>39165</xdr:rowOff>
    </xdr:from>
    <xdr:to>
      <xdr:col>13</xdr:col>
      <xdr:colOff>543195</xdr:colOff>
      <xdr:row>24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7DD9DD3B-DB9D-4D7F-841C-C671594DF7CB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25</xdr:row>
      <xdr:rowOff>39165</xdr:rowOff>
    </xdr:from>
    <xdr:to>
      <xdr:col>13</xdr:col>
      <xdr:colOff>543195</xdr:colOff>
      <xdr:row>25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597F8339-0E2A-4C41-A28A-94A82867B98A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26</xdr:row>
      <xdr:rowOff>39165</xdr:rowOff>
    </xdr:from>
    <xdr:to>
      <xdr:col>13</xdr:col>
      <xdr:colOff>543195</xdr:colOff>
      <xdr:row>26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7CC1C551-4269-40AC-9529-B2F74F41A1BB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27</xdr:row>
      <xdr:rowOff>39165</xdr:rowOff>
    </xdr:from>
    <xdr:to>
      <xdr:col>13</xdr:col>
      <xdr:colOff>543195</xdr:colOff>
      <xdr:row>27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6DB9BFCA-9CD9-47CB-A24A-487DD54EFFD7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28</xdr:row>
      <xdr:rowOff>39165</xdr:rowOff>
    </xdr:from>
    <xdr:to>
      <xdr:col>13</xdr:col>
      <xdr:colOff>543195</xdr:colOff>
      <xdr:row>28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5198AB9D-A699-4D77-A0E7-DFD20AEE0BA2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29</xdr:row>
      <xdr:rowOff>39165</xdr:rowOff>
    </xdr:from>
    <xdr:to>
      <xdr:col>13</xdr:col>
      <xdr:colOff>543195</xdr:colOff>
      <xdr:row>29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2BA98CA-864B-4CD3-936E-6E4245293A4A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30</xdr:row>
      <xdr:rowOff>39165</xdr:rowOff>
    </xdr:from>
    <xdr:to>
      <xdr:col>13</xdr:col>
      <xdr:colOff>543195</xdr:colOff>
      <xdr:row>30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05C00762-7EB5-4A7E-920C-A0963A78495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31</xdr:row>
      <xdr:rowOff>39165</xdr:rowOff>
    </xdr:from>
    <xdr:to>
      <xdr:col>13</xdr:col>
      <xdr:colOff>543195</xdr:colOff>
      <xdr:row>31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C1A73642-1D5D-4BE3-9728-014E073905C2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32</xdr:row>
      <xdr:rowOff>39165</xdr:rowOff>
    </xdr:from>
    <xdr:to>
      <xdr:col>13</xdr:col>
      <xdr:colOff>543195</xdr:colOff>
      <xdr:row>32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D2C5969C-1554-4645-BCAB-48C88C75ADF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33</xdr:row>
      <xdr:rowOff>39165</xdr:rowOff>
    </xdr:from>
    <xdr:to>
      <xdr:col>13</xdr:col>
      <xdr:colOff>543195</xdr:colOff>
      <xdr:row>33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6E43C3A7-52D5-4E31-A9C2-CA0FD0B802D1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13</xdr:col>
      <xdr:colOff>542835</xdr:colOff>
      <xdr:row>34</xdr:row>
      <xdr:rowOff>39165</xdr:rowOff>
    </xdr:from>
    <xdr:to>
      <xdr:col>13</xdr:col>
      <xdr:colOff>543195</xdr:colOff>
      <xdr:row>34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D13197DF-5F95-4DFF-B515-3253F95A40C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542835</xdr:colOff>
      <xdr:row>7</xdr:row>
      <xdr:rowOff>39165</xdr:rowOff>
    </xdr:from>
    <xdr:to>
      <xdr:col>9</xdr:col>
      <xdr:colOff>543195</xdr:colOff>
      <xdr:row>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AEEAB478-4742-4C17-B273-C75A7D2EA42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8</xdr:row>
      <xdr:rowOff>39165</xdr:rowOff>
    </xdr:from>
    <xdr:to>
      <xdr:col>9</xdr:col>
      <xdr:colOff>543195</xdr:colOff>
      <xdr:row>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3DAC56EE-22E7-48E9-A499-392CB1243E0A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9</xdr:row>
      <xdr:rowOff>39165</xdr:rowOff>
    </xdr:from>
    <xdr:to>
      <xdr:col>9</xdr:col>
      <xdr:colOff>543195</xdr:colOff>
      <xdr:row>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590473E7-05F6-42D2-BB26-B4F0C32D728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10</xdr:row>
      <xdr:rowOff>39165</xdr:rowOff>
    </xdr:from>
    <xdr:to>
      <xdr:col>9</xdr:col>
      <xdr:colOff>543195</xdr:colOff>
      <xdr:row>10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1DEA764-9F7A-46D0-813C-6A4D41D5169B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11</xdr:row>
      <xdr:rowOff>39165</xdr:rowOff>
    </xdr:from>
    <xdr:to>
      <xdr:col>9</xdr:col>
      <xdr:colOff>543195</xdr:colOff>
      <xdr:row>11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A6554022-6C69-4642-89E9-6EFDE1E28E6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12</xdr:row>
      <xdr:rowOff>39165</xdr:rowOff>
    </xdr:from>
    <xdr:to>
      <xdr:col>9</xdr:col>
      <xdr:colOff>543195</xdr:colOff>
      <xdr:row>12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F36D6713-19D8-4CB2-B87F-18CEEAB1A78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13</xdr:row>
      <xdr:rowOff>39165</xdr:rowOff>
    </xdr:from>
    <xdr:to>
      <xdr:col>10</xdr:col>
      <xdr:colOff>543195</xdr:colOff>
      <xdr:row>13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A751F050-3F05-462D-8ECD-17B4DA4B19C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BBE53A9A-C49A-4D58-9A65-CB3613659EF7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F973C92A-6EE4-4351-A4CD-D285F0E3AFA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8E16610C-D0B0-4F7D-9DB0-8EE989F19BB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3C48B77C-8DB2-41E8-97FE-366A0BE6CA76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23BAC0FC-0A01-42EF-A03F-530C031C4621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DD3697B2-0824-4809-9107-B464DB50AFB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FA03DAE1-A6B5-4CA2-B566-FCF44E0920B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45975BF4-D441-4D46-A5FD-5DBEFEAC7701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B77151D1-D328-4E54-B83E-44270E6E1A2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D7BD58E2-A10A-4032-A508-A4A9F2EB9FD4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7</xdr:row>
      <xdr:rowOff>39165</xdr:rowOff>
    </xdr:from>
    <xdr:to>
      <xdr:col>9</xdr:col>
      <xdr:colOff>543195</xdr:colOff>
      <xdr:row>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F488F80A-6ECD-4002-8037-E1F5EE925A5F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8</xdr:row>
      <xdr:rowOff>39165</xdr:rowOff>
    </xdr:from>
    <xdr:to>
      <xdr:col>9</xdr:col>
      <xdr:colOff>543195</xdr:colOff>
      <xdr:row>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16E78112-E045-4356-B2D5-CCAFB1A39510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9</xdr:row>
      <xdr:rowOff>39165</xdr:rowOff>
    </xdr:from>
    <xdr:to>
      <xdr:col>9</xdr:col>
      <xdr:colOff>543195</xdr:colOff>
      <xdr:row>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86B26A5F-6647-488D-A117-86C7044D305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10</xdr:row>
      <xdr:rowOff>39165</xdr:rowOff>
    </xdr:from>
    <xdr:to>
      <xdr:col>9</xdr:col>
      <xdr:colOff>543195</xdr:colOff>
      <xdr:row>10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E61D17BA-191B-4900-A44C-3BA1593FA39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11</xdr:row>
      <xdr:rowOff>39165</xdr:rowOff>
    </xdr:from>
    <xdr:to>
      <xdr:col>9</xdr:col>
      <xdr:colOff>543195</xdr:colOff>
      <xdr:row>11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B5F97C49-AA0B-4FFD-A34D-C23BE7B6770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12</xdr:row>
      <xdr:rowOff>39165</xdr:rowOff>
    </xdr:from>
    <xdr:to>
      <xdr:col>9</xdr:col>
      <xdr:colOff>543195</xdr:colOff>
      <xdr:row>12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2C7CE537-2F65-47B6-A0AC-86894B87549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13</xdr:row>
      <xdr:rowOff>39165</xdr:rowOff>
    </xdr:from>
    <xdr:to>
      <xdr:col>10</xdr:col>
      <xdr:colOff>543195</xdr:colOff>
      <xdr:row>13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29BC5F19-23F7-449F-80B7-2420ECCF3C7B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1989EE44-1590-4202-8CEB-D7A2E04019A2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BB3783AB-E1B5-410C-BE0B-0DA0A82B99B2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C5ECB14B-091E-4E28-B8CB-4986CA613762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0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0912D374-4DAD-4B71-9E22-09C65A2104FA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67FB585E-93EF-4FB1-A330-72699F099168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2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CF9EA162-2EB7-4B35-8C52-AB0B8EC2FA12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40EF096F-346A-4DDE-9ADA-4E576B590DB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4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69A41F83-6A6C-44B9-A88E-5766FFCCB208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017078-E9A1-4188-BDA9-FC3D22BBED0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6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64655DC4-698F-48FA-818D-E8645CB3C27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8</xdr:row>
      <xdr:rowOff>39165</xdr:rowOff>
    </xdr:from>
    <xdr:to>
      <xdr:col>9</xdr:col>
      <xdr:colOff>543195</xdr:colOff>
      <xdr:row>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67A3CE92-C810-408A-8032-48BC93162F4A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8</xdr:row>
      <xdr:rowOff>39165</xdr:rowOff>
    </xdr:from>
    <xdr:to>
      <xdr:col>9</xdr:col>
      <xdr:colOff>543195</xdr:colOff>
      <xdr:row>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8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7C3EA501-8D21-435E-A148-979B996889DF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9</xdr:row>
      <xdr:rowOff>39165</xdr:rowOff>
    </xdr:from>
    <xdr:to>
      <xdr:col>9</xdr:col>
      <xdr:colOff>543195</xdr:colOff>
      <xdr:row>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67F6FA70-0381-4CAB-8550-9C0F797DE770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9</xdr:row>
      <xdr:rowOff>39165</xdr:rowOff>
    </xdr:from>
    <xdr:to>
      <xdr:col>9</xdr:col>
      <xdr:colOff>543195</xdr:colOff>
      <xdr:row>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0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4C9479E4-EAF7-4302-B29E-F154251B91E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10</xdr:row>
      <xdr:rowOff>39165</xdr:rowOff>
    </xdr:from>
    <xdr:to>
      <xdr:col>9</xdr:col>
      <xdr:colOff>543195</xdr:colOff>
      <xdr:row>10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05566DE5-6DD6-4882-8A45-45CF980609D0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10</xdr:row>
      <xdr:rowOff>39165</xdr:rowOff>
    </xdr:from>
    <xdr:to>
      <xdr:col>9</xdr:col>
      <xdr:colOff>543195</xdr:colOff>
      <xdr:row>10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2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1E7DC6CC-BFB5-46D0-8AD3-5884C4036F62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11</xdr:row>
      <xdr:rowOff>39165</xdr:rowOff>
    </xdr:from>
    <xdr:to>
      <xdr:col>9</xdr:col>
      <xdr:colOff>543195</xdr:colOff>
      <xdr:row>11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79BEE199-E34C-4AD0-85DC-F9BB1CCD287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11</xdr:row>
      <xdr:rowOff>39165</xdr:rowOff>
    </xdr:from>
    <xdr:to>
      <xdr:col>9</xdr:col>
      <xdr:colOff>543195</xdr:colOff>
      <xdr:row>11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4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EBC7ADFE-3795-4F8C-8CB5-6222EE84C16F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12</xdr:row>
      <xdr:rowOff>39165</xdr:rowOff>
    </xdr:from>
    <xdr:to>
      <xdr:col>9</xdr:col>
      <xdr:colOff>543195</xdr:colOff>
      <xdr:row>12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7BAF28F6-1E6A-4817-B605-2B93D9FC3D8E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12</xdr:row>
      <xdr:rowOff>39165</xdr:rowOff>
    </xdr:from>
    <xdr:to>
      <xdr:col>9</xdr:col>
      <xdr:colOff>543195</xdr:colOff>
      <xdr:row>12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6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3E5F6C36-810D-45F9-AF49-293213B1E5C6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13</xdr:row>
      <xdr:rowOff>39165</xdr:rowOff>
    </xdr:from>
    <xdr:to>
      <xdr:col>10</xdr:col>
      <xdr:colOff>543195</xdr:colOff>
      <xdr:row>13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8C11799B-8DEF-4DB8-811B-DD530D4FD458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13</xdr:row>
      <xdr:rowOff>39165</xdr:rowOff>
    </xdr:from>
    <xdr:to>
      <xdr:col>10</xdr:col>
      <xdr:colOff>543195</xdr:colOff>
      <xdr:row>13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8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E4978125-9C73-4FA2-A271-08E47953E08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A643BEB7-030C-4AD7-94E6-245585DBDB4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0">
          <xdr14:nvContentPartPr>
            <xdr14:cNvPr id="49" name="Ink 48">
              <a:extLst>
                <a:ext uri="{FF2B5EF4-FFF2-40B4-BE49-F238E27FC236}">
                  <a16:creationId xmlns:a16="http://schemas.microsoft.com/office/drawing/2014/main" id="{23B98748-5FB7-44E6-BDF2-A51F95733964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E80C7313-BA16-4399-906B-CEC2D939B67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2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56BBADA7-8FAD-443F-B2DA-374BFAF5502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92B15BDF-F9FA-494A-A07A-145F3010DD3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4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1CF79C62-736B-4C3F-8FC8-2EB40E330737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54" name="Ink 53">
              <a:extLst>
                <a:ext uri="{FF2B5EF4-FFF2-40B4-BE49-F238E27FC236}">
                  <a16:creationId xmlns:a16="http://schemas.microsoft.com/office/drawing/2014/main" id="{873415AA-724D-4E10-94F5-23E70C2DE194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6">
          <xdr14:nvContentPartPr>
            <xdr14:cNvPr id="55" name="Ink 54">
              <a:extLst>
                <a:ext uri="{FF2B5EF4-FFF2-40B4-BE49-F238E27FC236}">
                  <a16:creationId xmlns:a16="http://schemas.microsoft.com/office/drawing/2014/main" id="{D2F5668E-EFA4-4890-8625-A812A232FB3B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56" name="Ink 55">
              <a:extLst>
                <a:ext uri="{FF2B5EF4-FFF2-40B4-BE49-F238E27FC236}">
                  <a16:creationId xmlns:a16="http://schemas.microsoft.com/office/drawing/2014/main" id="{BE295B31-7FAA-4B29-A30D-86F8D6A0199F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8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1F0B6EBD-793F-4BE8-8E21-B0AF271FAAF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58" name="Ink 57">
              <a:extLst>
                <a:ext uri="{FF2B5EF4-FFF2-40B4-BE49-F238E27FC236}">
                  <a16:creationId xmlns:a16="http://schemas.microsoft.com/office/drawing/2014/main" id="{56A6B76B-93B4-4EB0-8C87-7C3959138D01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0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1B438A5E-CE42-40DB-9802-64D17AC6355B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60" name="Ink 59">
              <a:extLst>
                <a:ext uri="{FF2B5EF4-FFF2-40B4-BE49-F238E27FC236}">
                  <a16:creationId xmlns:a16="http://schemas.microsoft.com/office/drawing/2014/main" id="{B8568D7E-BA4E-43C3-B0D3-25C60C235401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2">
          <xdr14:nvContentPartPr>
            <xdr14:cNvPr id="61" name="Ink 60">
              <a:extLst>
                <a:ext uri="{FF2B5EF4-FFF2-40B4-BE49-F238E27FC236}">
                  <a16:creationId xmlns:a16="http://schemas.microsoft.com/office/drawing/2014/main" id="{1707341B-A39B-42D6-8E74-2BC9E6BACB8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F3D33D57-C200-47CB-8B8E-57F361408DC7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4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16E8A386-F715-4401-BB61-0626FED78AA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5A6D2B4B-6CD5-47D5-B3D3-BEB64CF5968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6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20839294-64AE-4FBB-A924-7B1292F17ED0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66" name="Ink 65">
              <a:extLst>
                <a:ext uri="{FF2B5EF4-FFF2-40B4-BE49-F238E27FC236}">
                  <a16:creationId xmlns:a16="http://schemas.microsoft.com/office/drawing/2014/main" id="{4CC38145-6EB9-4584-9E4A-11EEE0F0BAB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8">
          <xdr14:nvContentPartPr>
            <xdr14:cNvPr id="67" name="Ink 66">
              <a:extLst>
                <a:ext uri="{FF2B5EF4-FFF2-40B4-BE49-F238E27FC236}">
                  <a16:creationId xmlns:a16="http://schemas.microsoft.com/office/drawing/2014/main" id="{249AE693-CD0E-4C33-AA64-44FC3A8F154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8</xdr:row>
      <xdr:rowOff>39165</xdr:rowOff>
    </xdr:from>
    <xdr:to>
      <xdr:col>9</xdr:col>
      <xdr:colOff>543195</xdr:colOff>
      <xdr:row>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CC88C0A6-4D0A-46B4-90A0-A75A53B1C8E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8</xdr:row>
      <xdr:rowOff>39165</xdr:rowOff>
    </xdr:from>
    <xdr:to>
      <xdr:col>9</xdr:col>
      <xdr:colOff>543195</xdr:colOff>
      <xdr:row>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0">
          <xdr14:nvContentPartPr>
            <xdr14:cNvPr id="69" name="Ink 68">
              <a:extLst>
                <a:ext uri="{FF2B5EF4-FFF2-40B4-BE49-F238E27FC236}">
                  <a16:creationId xmlns:a16="http://schemas.microsoft.com/office/drawing/2014/main" id="{9C0BE9FC-21A4-4CE8-B614-072BEE968461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9</xdr:row>
      <xdr:rowOff>39165</xdr:rowOff>
    </xdr:from>
    <xdr:to>
      <xdr:col>9</xdr:col>
      <xdr:colOff>543195</xdr:colOff>
      <xdr:row>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E0697495-849C-46D9-80DD-81C75426FA6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9</xdr:row>
      <xdr:rowOff>39165</xdr:rowOff>
    </xdr:from>
    <xdr:to>
      <xdr:col>9</xdr:col>
      <xdr:colOff>543195</xdr:colOff>
      <xdr:row>9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2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C17F8E48-CD58-4FDF-882B-4932C3CCFB6A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10</xdr:row>
      <xdr:rowOff>39165</xdr:rowOff>
    </xdr:from>
    <xdr:to>
      <xdr:col>9</xdr:col>
      <xdr:colOff>543195</xdr:colOff>
      <xdr:row>10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A2FA531E-AD80-43D1-9A91-9BEECD01B46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10</xdr:row>
      <xdr:rowOff>39165</xdr:rowOff>
    </xdr:from>
    <xdr:to>
      <xdr:col>9</xdr:col>
      <xdr:colOff>543195</xdr:colOff>
      <xdr:row>10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4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129F86CA-4CDD-47DF-8CAC-7914FB79E52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11</xdr:row>
      <xdr:rowOff>39165</xdr:rowOff>
    </xdr:from>
    <xdr:to>
      <xdr:col>9</xdr:col>
      <xdr:colOff>543195</xdr:colOff>
      <xdr:row>11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1DF29644-E3E9-49B1-A2B6-79DD4996EE87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11</xdr:row>
      <xdr:rowOff>39165</xdr:rowOff>
    </xdr:from>
    <xdr:to>
      <xdr:col>9</xdr:col>
      <xdr:colOff>543195</xdr:colOff>
      <xdr:row>11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6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FF5C2DE2-46C7-4C29-A26E-22EFBA38BC96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12</xdr:row>
      <xdr:rowOff>39165</xdr:rowOff>
    </xdr:from>
    <xdr:to>
      <xdr:col>9</xdr:col>
      <xdr:colOff>543195</xdr:colOff>
      <xdr:row>12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1BFDD493-ACAE-40DC-973B-FD5AAB15CB28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542835</xdr:colOff>
      <xdr:row>12</xdr:row>
      <xdr:rowOff>39165</xdr:rowOff>
    </xdr:from>
    <xdr:to>
      <xdr:col>9</xdr:col>
      <xdr:colOff>543195</xdr:colOff>
      <xdr:row>12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8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B7159256-B7CD-43C0-88EC-A33C2F61772B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15FCF9F4-EEA6-492C-A43D-B330B55373F6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0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C59358E9-1F96-47E1-91DF-4F3B38E4BC3E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09E72200-0954-466B-8915-ABCC139148B8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14</xdr:row>
      <xdr:rowOff>39165</xdr:rowOff>
    </xdr:from>
    <xdr:to>
      <xdr:col>10</xdr:col>
      <xdr:colOff>543195</xdr:colOff>
      <xdr:row>14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2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4C64EBCE-5956-48A5-8E58-338A341C0A04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E162C088-A43A-4815-875F-B4069BCB385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4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0F2EE546-D4BF-4B72-9089-049C5CA4D49F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FA9DCBD2-EB91-41CA-8A08-D35C0980FCA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15</xdr:row>
      <xdr:rowOff>39165</xdr:rowOff>
    </xdr:from>
    <xdr:to>
      <xdr:col>10</xdr:col>
      <xdr:colOff>543195</xdr:colOff>
      <xdr:row>15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6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DD6CC8C8-B3DA-4C8B-9A51-B7A25B51E6B8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A4B7EF15-5062-4C7F-8C02-CCD00BAE4453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8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98535AB4-1AF7-4535-8C2C-50D482E4111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980C890B-C70E-4093-B79C-1A07D0D46A4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16</xdr:row>
      <xdr:rowOff>39165</xdr:rowOff>
    </xdr:from>
    <xdr:to>
      <xdr:col>10</xdr:col>
      <xdr:colOff>543195</xdr:colOff>
      <xdr:row>16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0">
          <xdr14:nvContentPartPr>
            <xdr14:cNvPr id="89" name="Ink 88">
              <a:extLst>
                <a:ext uri="{FF2B5EF4-FFF2-40B4-BE49-F238E27FC236}">
                  <a16:creationId xmlns:a16="http://schemas.microsoft.com/office/drawing/2014/main" id="{91399436-20F6-4D59-8647-8BFEBE7C3319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06413640-1929-454A-8122-A9E6D5EA5431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2">
          <xdr14:nvContentPartPr>
            <xdr14:cNvPr id="91" name="Ink 90">
              <a:extLst>
                <a:ext uri="{FF2B5EF4-FFF2-40B4-BE49-F238E27FC236}">
                  <a16:creationId xmlns:a16="http://schemas.microsoft.com/office/drawing/2014/main" id="{768C9E5E-6DF8-4697-B020-BB747CC9F56D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92" name="Ink 91">
              <a:extLst>
                <a:ext uri="{FF2B5EF4-FFF2-40B4-BE49-F238E27FC236}">
                  <a16:creationId xmlns:a16="http://schemas.microsoft.com/office/drawing/2014/main" id="{804B65B7-9665-432C-AC80-BAE98A201C8B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17</xdr:row>
      <xdr:rowOff>39165</xdr:rowOff>
    </xdr:from>
    <xdr:to>
      <xdr:col>10</xdr:col>
      <xdr:colOff>543195</xdr:colOff>
      <xdr:row>17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4">
          <xdr14:nvContentPartPr>
            <xdr14:cNvPr id="93" name="Ink 92">
              <a:extLst>
                <a:ext uri="{FF2B5EF4-FFF2-40B4-BE49-F238E27FC236}">
                  <a16:creationId xmlns:a16="http://schemas.microsoft.com/office/drawing/2014/main" id="{6506ADB4-21A8-4A60-A885-12295A352302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94" name="Ink 93">
              <a:extLst>
                <a:ext uri="{FF2B5EF4-FFF2-40B4-BE49-F238E27FC236}">
                  <a16:creationId xmlns:a16="http://schemas.microsoft.com/office/drawing/2014/main" id="{DE6A2788-A0AF-43B4-BCD0-104B2946A4BC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6">
          <xdr14:nvContentPartPr>
            <xdr14:cNvPr id="95" name="Ink 94">
              <a:extLst>
                <a:ext uri="{FF2B5EF4-FFF2-40B4-BE49-F238E27FC236}">
                  <a16:creationId xmlns:a16="http://schemas.microsoft.com/office/drawing/2014/main" id="{A2CD6C7E-98ED-4DE1-8CBB-FFBA5092C496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96" name="Ink 95">
              <a:extLst>
                <a:ext uri="{FF2B5EF4-FFF2-40B4-BE49-F238E27FC236}">
                  <a16:creationId xmlns:a16="http://schemas.microsoft.com/office/drawing/2014/main" id="{B76D2255-7D6C-40EB-8FF7-58FD8E33A8EA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542835</xdr:colOff>
      <xdr:row>18</xdr:row>
      <xdr:rowOff>39165</xdr:rowOff>
    </xdr:from>
    <xdr:to>
      <xdr:col>10</xdr:col>
      <xdr:colOff>543195</xdr:colOff>
      <xdr:row>18</xdr:row>
      <xdr:rowOff>39525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8">
          <xdr14:nvContentPartPr>
            <xdr14:cNvPr id="97" name="Ink 96">
              <a:extLst>
                <a:ext uri="{FF2B5EF4-FFF2-40B4-BE49-F238E27FC236}">
                  <a16:creationId xmlns:a16="http://schemas.microsoft.com/office/drawing/2014/main" id="{4F3D1814-644F-4A41-AAD6-1C15499047E5}"/>
                </a:ext>
              </a:extLst>
            </xdr14:cNvPr>
            <xdr14:cNvContentPartPr/>
          </xdr14:nvContentPartPr>
          <xdr14:nvPr macro=""/>
          <xdr14:xfrm>
            <a:off x="9305835" y="1753665"/>
            <a:ext cx="360" cy="360"/>
          </xdr14:xfrm>
        </xdr:contentPart>
      </mc:Choice>
      <mc:Fallback xmlns="">
        <xdr:pic>
          <xdr:nvPicPr>
            <xdr:cNvPr id="130" name="Ink 129"/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9303675" y="1751505"/>
              <a:ext cx="4680" cy="46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120650</xdr:colOff>
      <xdr:row>9</xdr:row>
      <xdr:rowOff>171450</xdr:rowOff>
    </xdr:from>
    <xdr:to>
      <xdr:col>14</xdr:col>
      <xdr:colOff>654050</xdr:colOff>
      <xdr:row>24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F1BEEE-B65E-EE8E-2789-DFBBEA658F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190500</xdr:colOff>
      <xdr:row>10</xdr:row>
      <xdr:rowOff>63500</xdr:rowOff>
    </xdr:from>
    <xdr:to>
      <xdr:col>23</xdr:col>
      <xdr:colOff>50800</xdr:colOff>
      <xdr:row>24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8A89D8-9ED7-024E-8D31-157A5B9D2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Uni/Documents/OM/Master%20Solution/M1-M3_all_solutions.xlsx" TargetMode="External"/><Relationship Id="rId1" Type="http://schemas.openxmlformats.org/officeDocument/2006/relationships/externalLinkPath" Target="https://universitaetstgallen-my.sharepoint.com/Users/Uni/Documents/OM/Master%20Solution/M1-M3_all_solu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Uni/Documents/OM/Master%20Solution/M1-M3_all_solutions.xlsx" TargetMode="External"/><Relationship Id="rId1" Type="http://schemas.openxmlformats.org/officeDocument/2006/relationships/externalLinkPath" Target="https://d.docs.live.net/Users/Uni/Documents/OM/Master%20Solution/M1-M3_all_solution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niversitaetstgallen.sharepoint.com/F:/Mgmt%20Science/Simulatio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F:/Mgmt%20Science/Simulation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Mgmt%20Science/Simulation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maxma/Documents/OM/Master%20Solution/HS24/Modul_4_Musterl&#246;sung.xlsx" TargetMode="External"/><Relationship Id="rId1" Type="http://schemas.openxmlformats.org/officeDocument/2006/relationships/externalLinkPath" Target="https://d.docs.live.net/Users/maxma/Documents/OM/Master%20Solution/HS24/Modul_4_Musterl&#246;su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lausur M3-1"/>
      <sheetName val="Klausur M3-2"/>
      <sheetName val="Klausur M3-3"/>
      <sheetName val="Klausur M4.1"/>
      <sheetName val="Klausur M4.2"/>
      <sheetName val="Klausur M4.3"/>
      <sheetName val="1.1.d - MFE"/>
      <sheetName val="1.1.d - Solution"/>
      <sheetName val="1.2.b - MA"/>
      <sheetName val="1.2.b - Solution"/>
      <sheetName val="1.2.c - WMA"/>
      <sheetName val="1.2.c - Solution"/>
      <sheetName val="1.2.d - ExSm"/>
      <sheetName val="1.2.d - Solution"/>
      <sheetName val="1.3.a - LTA"/>
      <sheetName val="1.3.a - Solution"/>
      <sheetName val="1.3.b - SA"/>
      <sheetName val="1.3.b - Solution"/>
      <sheetName val="1.4.d - Decomp"/>
      <sheetName val="1.4.d - Solution"/>
      <sheetName val="M2"/>
      <sheetName val="2.1.d - ABC"/>
      <sheetName val="2.1.d - Solution"/>
      <sheetName val="2.2.b - EOQ Solution"/>
      <sheetName val="2.3.a - EPQ Solution"/>
      <sheetName val="2.3.b - QDM Solution"/>
      <sheetName val="2.4.b - SS Solution"/>
      <sheetName val="2.4.c DNM Solution"/>
      <sheetName val="2.5.b - NM SL Solution"/>
      <sheetName val="2.6.b - POM TIL"/>
      <sheetName val="2.6.b - Solution"/>
      <sheetName val="M3"/>
      <sheetName val="3.2.a - AP"/>
      <sheetName val="3.2.a - Solution"/>
      <sheetName val="HS23"/>
      <sheetName val="3.2.e - OM"/>
      <sheetName val="3.2.e - Solution"/>
      <sheetName val="3.4.b - SP"/>
      <sheetName val="3.4.b - Solution"/>
      <sheetName val="3.4.c - TP"/>
      <sheetName val="3.4.c - Solution"/>
      <sheetName val="3.4.d - DP"/>
      <sheetName val="3.4.d - Solution"/>
      <sheetName val="M4"/>
      <sheetName val="4.2.b - WPP"/>
      <sheetName val="4.2.b - Solution"/>
      <sheetName val="4.2.c - PP"/>
      <sheetName val="4.2.c - Solution"/>
      <sheetName val="4.3.b - BW"/>
      <sheetName val="4.3.b - Solution"/>
      <sheetName val="4.4.b - RN"/>
      <sheetName val="4.4.b - Solution"/>
      <sheetName val="4.5.b - BCI"/>
      <sheetName val="4.5.b - Solution"/>
      <sheetName val="4.5.c - BDS"/>
      <sheetName val="Sheet2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.1.d - MFE"/>
      <sheetName val="1.1.d - Solution"/>
      <sheetName val="1.2.b - MA"/>
      <sheetName val="1.2.b - Solution"/>
      <sheetName val="1.2.c - WMA"/>
      <sheetName val="1.2.c - Solution"/>
      <sheetName val="1.2.d - ExSm"/>
      <sheetName val="1.2.d - Solution"/>
      <sheetName val="1.3.a - LTA"/>
      <sheetName val="1.3.a - Solution"/>
      <sheetName val="1.3.b - SA"/>
      <sheetName val="1.3.b - Solution"/>
      <sheetName val="1.4.d - Decomp"/>
      <sheetName val="1.4.d - Solution"/>
      <sheetName val="M2"/>
      <sheetName val="2.1.d - ABC"/>
      <sheetName val="2.1.d - Solution"/>
      <sheetName val="2.2.b - EOQ Solution"/>
      <sheetName val="2.3.a - EPQ Solution"/>
      <sheetName val="2.3.b - QDM Solution"/>
      <sheetName val="2.4.b - SS Solution"/>
      <sheetName val="2.4.c DNM Solution"/>
      <sheetName val="2.5.b - NM SL Solution"/>
      <sheetName val="2.6.b - POM TIL"/>
      <sheetName val="2.6.b - Solution"/>
      <sheetName val="M3"/>
      <sheetName val="3.2.a - AP"/>
      <sheetName val="3.2.a - Solution"/>
      <sheetName val="HS23"/>
      <sheetName val="3.2.e - OM"/>
      <sheetName val="3.2.e - Solution"/>
      <sheetName val="3.4.b - SP"/>
      <sheetName val="3.4.b - Solution"/>
      <sheetName val="3.4.c - TP"/>
      <sheetName val="3.4.c - Solution"/>
      <sheetName val="3.4.d - DP"/>
      <sheetName val="3.4.d - Solution"/>
      <sheetName val="M4"/>
      <sheetName val="4.2.b - WPP"/>
      <sheetName val="4.2.b - Solution"/>
      <sheetName val="4.2.c - PP"/>
      <sheetName val="4.2.c - Solution"/>
      <sheetName val="4.3.b - BW"/>
      <sheetName val="4.3.b - Solution"/>
      <sheetName val="4.4.b - RN"/>
      <sheetName val="4.4.b - Solution"/>
      <sheetName val="4.5.b - BCI"/>
      <sheetName val="4.5.b - Solution"/>
      <sheetName val="4.5.c - BDS"/>
      <sheetName val="Sheet2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>
        <row r="4">
          <cell r="E4">
            <v>3</v>
          </cell>
        </row>
        <row r="7">
          <cell r="E7">
            <v>3.5</v>
          </cell>
        </row>
        <row r="8">
          <cell r="E8">
            <v>30</v>
          </cell>
        </row>
        <row r="9">
          <cell r="E9">
            <v>0.89552238805970152</v>
          </cell>
        </row>
        <row r="10">
          <cell r="E10">
            <v>1.2564434852902648</v>
          </cell>
        </row>
        <row r="11">
          <cell r="E11">
            <v>0.18118011190987446</v>
          </cell>
        </row>
      </sheetData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ule1"/>
      <sheetName val="Random"/>
      <sheetName val="HD"/>
      <sheetName val="PCA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ule1"/>
      <sheetName val="Random"/>
      <sheetName val="HD"/>
      <sheetName val="PCA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ule1"/>
      <sheetName val="Random"/>
      <sheetName val="HD"/>
      <sheetName val="PCA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2.c - Pp"/>
      <sheetName val="4.2.c - Sol"/>
      <sheetName val="4.3.b - Bw"/>
      <sheetName val="4.3.b - Sol"/>
      <sheetName val="4.4.a - Sim"/>
      <sheetName val="4.4.a - Sol"/>
      <sheetName val="4.4.b - SCM"/>
      <sheetName val="4.4.b - Sol"/>
      <sheetName val="4.4.c - Sim SC"/>
      <sheetName val="4.4.c - Sol"/>
      <sheetName val="4.4.d - SCM O"/>
      <sheetName val="4.4.d - Sol"/>
      <sheetName val="4.4.d - Sol SS"/>
      <sheetName val="4.5.b - BCI"/>
      <sheetName val="4.5.b - Sol"/>
      <sheetName val="4.5.c - BDS"/>
      <sheetName val="4.5.c - Sol"/>
      <sheetName val="4.5.d - BIS"/>
      <sheetName val="4.5.d - So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3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4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5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5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5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5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5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5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8:55.45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6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7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8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89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0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1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2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3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4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5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6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7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8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59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60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61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62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63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ax="32767" units="cm"/>
          <inkml:channel name="Y" type="integer" max="32767" units="cm"/>
          <inkml:channel name="F" type="integer" max="2047" units="deg"/>
          <inkml:channel name="T" type="integer" max="2.14748E9" units="dev"/>
        </inkml:traceFormat>
        <inkml:channelProperties>
          <inkml:channelProperty channel="X" name="resolution" value="1466.08496" units="1/cm"/>
          <inkml:channelProperty channel="Y" name="resolution" value="2345.52612" units="1/cm"/>
          <inkml:channelProperty channel="F" name="resolution" value="5.68611" units="1/deg"/>
          <inkml:channelProperty channel="T" name="resolution" value="1" units="1/dev"/>
        </inkml:channelProperties>
      </inkml:inkSource>
      <inkml:timestamp xml:id="ts0" timeString="2024-10-12T12:39:44.964"/>
    </inkml:context>
    <inkml:brush xml:id="br0">
      <inkml:brushProperty name="width" value="0.04667" units="cm"/>
      <inkml:brushProperty name="height" value="0.04667" units="cm"/>
      <inkml:brushProperty name="color" value="#ED1C24"/>
    </inkml:brush>
  </inkml:definitions>
  <inkml:trace contextRef="#ctx0" brushRef="#br0">0 0 6 0</inkml:trace>
</inkml: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05F435B-FE69-5C4B-9EAE-3057CC9A1D4E}">
  <we:reference id="026e7b2b-fa4d-4fe0-bf3b-b965f6f25bee" version="1.0.0.78" store="EXCatalog" storeType="EXCatalog"/>
  <we:alternateReferences>
    <we:reference id="WA200000565" version="1.0.0.78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RDP.Data</we:customFunctionIds>
        <we:customFunctionIds>RDP.Price</we:customFunctionIds>
        <we:customFunctionIds>RDP.HistoricalPricing</we:customFunctionIds>
        <we:customFunctionIds>RDP.Analytics</we:customFunctionIds>
        <we:customFunctionIds>RDP.Search</we:customFunctionIds>
        <we:customFunctionIds>RDP.Now</we:customFunctionIds>
        <we:customFunctionIds>RDP.Today</we:customFunctionIds>
        <we:customFunctionIds>RDP.Aggregate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3F37-E508-499C-8BD6-0BBB2A263E61}">
  <sheetPr codeName="Sheet1"/>
  <dimension ref="A1:V4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1" sqref="H31"/>
    </sheetView>
  </sheetViews>
  <sheetFormatPr baseColWidth="10" defaultColWidth="9" defaultRowHeight="15" x14ac:dyDescent="0.2"/>
  <cols>
    <col min="1" max="1" width="3.1640625" style="348" customWidth="1"/>
    <col min="2" max="2" width="4.1640625" customWidth="1"/>
    <col min="3" max="3" width="7.33203125" customWidth="1"/>
    <col min="4" max="4" width="9.83203125" customWidth="1"/>
    <col min="5" max="5" width="15.33203125" customWidth="1"/>
    <col min="6" max="6" width="22.6640625" customWidth="1"/>
    <col min="7" max="7" width="28.6640625" customWidth="1"/>
    <col min="8" max="8" width="9" customWidth="1"/>
    <col min="9" max="9" width="19.33203125" customWidth="1"/>
    <col min="10" max="10" width="9" customWidth="1"/>
  </cols>
  <sheetData>
    <row r="1" spans="2:22" s="348" customFormat="1" ht="15" customHeight="1" x14ac:dyDescent="0.2">
      <c r="C1" s="349"/>
      <c r="D1" s="349"/>
      <c r="E1" s="349"/>
      <c r="F1" s="349"/>
      <c r="G1" s="349"/>
      <c r="H1" s="350"/>
      <c r="I1" s="350"/>
      <c r="J1" s="350"/>
      <c r="K1" s="350"/>
    </row>
    <row r="2" spans="2:22" x14ac:dyDescent="0.2">
      <c r="B2" s="17"/>
      <c r="C2" s="1"/>
      <c r="D2" s="1"/>
      <c r="E2" s="2"/>
      <c r="F2" s="3"/>
      <c r="G2" s="1"/>
      <c r="H2" s="1"/>
      <c r="I2" s="1"/>
      <c r="J2" s="1"/>
      <c r="K2" s="1"/>
      <c r="L2" s="17"/>
      <c r="M2" s="17"/>
      <c r="N2" s="17"/>
    </row>
    <row r="3" spans="2:22" x14ac:dyDescent="0.2">
      <c r="B3" s="17"/>
      <c r="C3" s="1"/>
      <c r="D3" s="1"/>
      <c r="E3" s="1"/>
      <c r="F3" s="3"/>
      <c r="G3" s="57"/>
      <c r="H3" s="1"/>
      <c r="I3" s="17"/>
      <c r="J3" s="1"/>
      <c r="K3" s="1"/>
      <c r="L3" s="17"/>
      <c r="M3" s="17"/>
      <c r="N3" s="17"/>
    </row>
    <row r="4" spans="2:22" ht="16" thickBot="1" x14ac:dyDescent="0.25">
      <c r="B4" s="17"/>
      <c r="C4" s="7" t="s">
        <v>0</v>
      </c>
      <c r="D4" s="7" t="s">
        <v>1</v>
      </c>
      <c r="E4" s="7" t="s">
        <v>2</v>
      </c>
      <c r="F4" s="7" t="s">
        <v>3</v>
      </c>
      <c r="G4" s="7" t="s">
        <v>4</v>
      </c>
      <c r="H4" s="17"/>
      <c r="I4" s="7" t="s">
        <v>1</v>
      </c>
      <c r="J4" s="334" t="s">
        <v>5</v>
      </c>
      <c r="K4" s="1"/>
      <c r="L4" s="435" t="s">
        <v>6</v>
      </c>
      <c r="M4" s="436"/>
      <c r="N4" s="17"/>
    </row>
    <row r="5" spans="2:22" x14ac:dyDescent="0.2">
      <c r="B5" s="17"/>
      <c r="C5" s="3">
        <v>1</v>
      </c>
      <c r="D5" s="3" t="s">
        <v>7</v>
      </c>
      <c r="E5" s="21">
        <v>130</v>
      </c>
      <c r="F5" s="55"/>
      <c r="G5" s="87"/>
      <c r="H5" s="17"/>
      <c r="I5" s="18" t="s">
        <v>8</v>
      </c>
      <c r="J5" s="39">
        <v>0.1</v>
      </c>
      <c r="K5" s="17"/>
      <c r="L5" s="38" t="s">
        <v>8</v>
      </c>
      <c r="M5" s="39">
        <v>0.1</v>
      </c>
      <c r="N5" s="17"/>
    </row>
    <row r="6" spans="2:22" x14ac:dyDescent="0.2">
      <c r="B6" s="17"/>
      <c r="C6" s="3"/>
      <c r="D6" s="3" t="s">
        <v>9</v>
      </c>
      <c r="E6" s="21">
        <v>127</v>
      </c>
      <c r="F6" s="88"/>
      <c r="G6" s="87"/>
      <c r="H6" s="17"/>
      <c r="I6" s="18" t="s">
        <v>10</v>
      </c>
      <c r="J6" s="39">
        <v>0.15</v>
      </c>
      <c r="K6" s="17"/>
      <c r="L6" s="38" t="s">
        <v>10</v>
      </c>
      <c r="M6" s="39">
        <v>0.15</v>
      </c>
      <c r="N6" s="17"/>
    </row>
    <row r="7" spans="2:22" x14ac:dyDescent="0.2">
      <c r="B7" s="17"/>
      <c r="C7" s="3"/>
      <c r="D7" s="3" t="s">
        <v>11</v>
      </c>
      <c r="E7" s="21">
        <v>132</v>
      </c>
      <c r="F7" s="88"/>
      <c r="G7" s="87"/>
      <c r="H7" s="17"/>
      <c r="I7" s="92" t="s">
        <v>12</v>
      </c>
      <c r="J7" s="39">
        <v>0.75</v>
      </c>
      <c r="K7" s="17"/>
      <c r="L7" s="38" t="s">
        <v>12</v>
      </c>
      <c r="M7" s="39">
        <v>0.75</v>
      </c>
      <c r="N7" s="17"/>
    </row>
    <row r="8" spans="2:22" ht="14.75" customHeight="1" x14ac:dyDescent="0.2">
      <c r="B8" s="17"/>
      <c r="C8" s="3"/>
      <c r="D8" s="3" t="s">
        <v>13</v>
      </c>
      <c r="E8" s="21">
        <v>151</v>
      </c>
      <c r="F8" s="88"/>
      <c r="G8" s="87"/>
      <c r="H8" s="17"/>
      <c r="I8" s="18" t="s">
        <v>14</v>
      </c>
      <c r="J8" s="18">
        <f>SUM(J5:J7)</f>
        <v>1</v>
      </c>
      <c r="K8" s="17"/>
      <c r="L8" s="38" t="s">
        <v>15</v>
      </c>
      <c r="M8" s="39">
        <f>SUM(M5:M7)</f>
        <v>1</v>
      </c>
      <c r="N8" s="17"/>
    </row>
    <row r="9" spans="2:22" ht="16" thickBot="1" x14ac:dyDescent="0.25">
      <c r="B9" s="17"/>
      <c r="C9" s="3"/>
      <c r="D9" s="3" t="s">
        <v>16</v>
      </c>
      <c r="E9" s="21">
        <v>167</v>
      </c>
      <c r="F9" s="88"/>
      <c r="G9" s="87"/>
      <c r="H9" s="1"/>
      <c r="I9" s="17"/>
      <c r="J9" s="1"/>
      <c r="K9" s="17"/>
      <c r="L9" s="432"/>
      <c r="M9" s="433"/>
      <c r="N9" s="17"/>
    </row>
    <row r="10" spans="2:22" ht="16" thickBot="1" x14ac:dyDescent="0.25">
      <c r="B10" s="17"/>
      <c r="C10" s="3"/>
      <c r="D10" s="3" t="s">
        <v>17</v>
      </c>
      <c r="E10" s="21">
        <v>162</v>
      </c>
      <c r="F10" s="89">
        <f>(E9*$J$5+E7*$J$6+E5*$J$7)/$J$8</f>
        <v>134</v>
      </c>
      <c r="G10" s="90">
        <f>ABS(E10-F10)/E10</f>
        <v>0.1728395061728395</v>
      </c>
      <c r="H10" s="17"/>
      <c r="I10" s="17"/>
      <c r="J10" s="17"/>
      <c r="K10" s="17"/>
      <c r="L10" s="432" t="s">
        <v>18</v>
      </c>
      <c r="M10" s="433"/>
      <c r="N10" s="17"/>
    </row>
    <row r="11" spans="2:22" ht="14.75" customHeight="1" x14ac:dyDescent="0.2">
      <c r="B11" s="17"/>
      <c r="C11" s="3"/>
      <c r="D11" s="3" t="s">
        <v>19</v>
      </c>
      <c r="E11" s="21">
        <v>133</v>
      </c>
      <c r="F11" s="89">
        <f t="shared" ref="F11:F28" si="0">(E10*$J$5+E8*$J$6+E6*$J$7)/$J$8</f>
        <v>134.1</v>
      </c>
      <c r="G11" s="90">
        <f t="shared" ref="G11:G28" si="1">ABS(E11-F11)/E11</f>
        <v>8.2706766917292809E-3</v>
      </c>
      <c r="H11" s="1"/>
      <c r="I11" s="1"/>
      <c r="J11" s="17"/>
      <c r="K11" s="17"/>
      <c r="L11" s="38" t="s">
        <v>8</v>
      </c>
      <c r="M11" s="39">
        <v>0.75</v>
      </c>
      <c r="N11" s="17"/>
    </row>
    <row r="12" spans="2:22" ht="14.75" customHeight="1" x14ac:dyDescent="0.2">
      <c r="B12" s="17"/>
      <c r="C12" s="3"/>
      <c r="D12" s="3" t="s">
        <v>20</v>
      </c>
      <c r="E12" s="21">
        <v>144</v>
      </c>
      <c r="F12" s="89">
        <f t="shared" si="0"/>
        <v>137.35</v>
      </c>
      <c r="G12" s="90">
        <f t="shared" si="1"/>
        <v>4.6180555555555593E-2</v>
      </c>
      <c r="H12" s="1"/>
      <c r="I12" s="17"/>
      <c r="J12" s="17"/>
      <c r="K12" s="1"/>
      <c r="L12" s="38" t="s">
        <v>10</v>
      </c>
      <c r="M12" s="39">
        <v>0.15</v>
      </c>
      <c r="N12" s="17"/>
    </row>
    <row r="13" spans="2:22" x14ac:dyDescent="0.2">
      <c r="B13" s="17"/>
      <c r="C13" s="3"/>
      <c r="D13" s="3" t="s">
        <v>21</v>
      </c>
      <c r="E13" s="21">
        <v>149</v>
      </c>
      <c r="F13" s="89">
        <f t="shared" si="0"/>
        <v>151.94999999999999</v>
      </c>
      <c r="G13" s="90">
        <f t="shared" si="1"/>
        <v>1.979865771812073E-2</v>
      </c>
      <c r="H13" s="1"/>
      <c r="I13" s="17"/>
      <c r="J13" s="17"/>
      <c r="K13" s="1"/>
      <c r="L13" s="38" t="s">
        <v>12</v>
      </c>
      <c r="M13" s="39">
        <v>0.1</v>
      </c>
      <c r="N13" s="17"/>
    </row>
    <row r="14" spans="2:22" x14ac:dyDescent="0.2">
      <c r="B14" s="17"/>
      <c r="C14" s="3"/>
      <c r="D14" s="3" t="s">
        <v>22</v>
      </c>
      <c r="E14" s="21">
        <v>166</v>
      </c>
      <c r="F14" s="89">
        <f t="shared" si="0"/>
        <v>160.1</v>
      </c>
      <c r="G14" s="90">
        <f t="shared" si="1"/>
        <v>3.5542168674698831E-2</v>
      </c>
      <c r="H14" s="1"/>
      <c r="I14" s="17"/>
      <c r="J14" s="17"/>
      <c r="K14" s="1"/>
      <c r="L14" s="38" t="s">
        <v>15</v>
      </c>
      <c r="M14" s="39">
        <f>SUM(M11:M13)</f>
        <v>1</v>
      </c>
      <c r="N14" s="17"/>
    </row>
    <row r="15" spans="2:22" ht="16" thickBot="1" x14ac:dyDescent="0.25">
      <c r="B15" s="17"/>
      <c r="C15" s="3"/>
      <c r="D15" s="3" t="s">
        <v>23</v>
      </c>
      <c r="E15" s="21">
        <v>178</v>
      </c>
      <c r="F15" s="89">
        <f t="shared" si="0"/>
        <v>159.69999999999999</v>
      </c>
      <c r="G15" s="90">
        <f t="shared" si="1"/>
        <v>0.10280898876404501</v>
      </c>
      <c r="H15" s="1"/>
      <c r="I15" s="17"/>
      <c r="J15" s="17"/>
      <c r="K15" s="1"/>
      <c r="L15" s="432"/>
      <c r="M15" s="433"/>
      <c r="N15" s="17"/>
      <c r="O15" s="437"/>
      <c r="P15" s="437"/>
      <c r="Q15" s="36"/>
      <c r="R15" s="434"/>
      <c r="S15" s="434"/>
      <c r="T15" s="36"/>
      <c r="U15" s="434"/>
      <c r="V15" s="434"/>
    </row>
    <row r="16" spans="2:22" ht="16" thickBot="1" x14ac:dyDescent="0.25">
      <c r="B16" s="17"/>
      <c r="C16" s="7"/>
      <c r="D16" s="7" t="s">
        <v>24</v>
      </c>
      <c r="E16" s="23">
        <v>190</v>
      </c>
      <c r="F16" s="89">
        <f t="shared" si="0"/>
        <v>139.9</v>
      </c>
      <c r="G16" s="90">
        <f t="shared" si="1"/>
        <v>0.26368421052631574</v>
      </c>
      <c r="H16" s="1"/>
      <c r="I16" s="17"/>
      <c r="J16" s="17"/>
      <c r="K16" s="17"/>
      <c r="L16" s="432" t="s">
        <v>25</v>
      </c>
      <c r="M16" s="433"/>
      <c r="N16" s="1"/>
      <c r="O16" s="37"/>
      <c r="P16" s="37"/>
      <c r="Q16" s="36"/>
      <c r="R16" s="36"/>
      <c r="S16" s="36"/>
      <c r="T16" s="36"/>
      <c r="U16" s="36"/>
      <c r="V16" s="36"/>
    </row>
    <row r="17" spans="2:22" x14ac:dyDescent="0.2">
      <c r="B17" s="17"/>
      <c r="C17" s="3">
        <v>2</v>
      </c>
      <c r="D17" s="3" t="s">
        <v>7</v>
      </c>
      <c r="E17" s="21">
        <v>138</v>
      </c>
      <c r="F17" s="89">
        <f t="shared" si="0"/>
        <v>151.9</v>
      </c>
      <c r="G17" s="90">
        <f t="shared" si="1"/>
        <v>0.10072463768115947</v>
      </c>
      <c r="H17" s="1"/>
      <c r="I17" s="17"/>
      <c r="J17" s="17"/>
      <c r="K17" s="1"/>
      <c r="L17" s="38" t="s">
        <v>8</v>
      </c>
      <c r="M17" s="39">
        <v>0.3</v>
      </c>
      <c r="N17" s="17"/>
      <c r="O17" s="37"/>
      <c r="P17" s="37"/>
      <c r="Q17" s="36"/>
      <c r="R17" s="36"/>
      <c r="S17" s="36"/>
      <c r="T17" s="36"/>
      <c r="U17" s="36"/>
      <c r="V17" s="36"/>
    </row>
    <row r="18" spans="2:22" ht="14.75" customHeight="1" x14ac:dyDescent="0.2">
      <c r="B18" s="17"/>
      <c r="C18" s="3"/>
      <c r="D18" s="3" t="s">
        <v>9</v>
      </c>
      <c r="E18" s="21">
        <v>156</v>
      </c>
      <c r="F18" s="89">
        <f t="shared" si="0"/>
        <v>152.25</v>
      </c>
      <c r="G18" s="90">
        <f t="shared" si="1"/>
        <v>2.403846153846154E-2</v>
      </c>
      <c r="H18" s="1"/>
      <c r="I18" s="17"/>
      <c r="J18" s="17"/>
      <c r="K18" s="1"/>
      <c r="L18" s="38" t="s">
        <v>10</v>
      </c>
      <c r="M18" s="39">
        <v>0.3</v>
      </c>
      <c r="N18" s="1"/>
      <c r="O18" s="37"/>
      <c r="P18" s="37"/>
      <c r="Q18" s="36"/>
      <c r="R18" s="36"/>
      <c r="S18" s="36"/>
      <c r="T18" s="36"/>
      <c r="U18" s="36"/>
      <c r="V18" s="36"/>
    </row>
    <row r="19" spans="2:22" x14ac:dyDescent="0.2">
      <c r="B19" s="17"/>
      <c r="C19" s="3"/>
      <c r="D19" s="3" t="s">
        <v>11</v>
      </c>
      <c r="E19" s="21">
        <v>157</v>
      </c>
      <c r="F19" s="89">
        <f t="shared" si="0"/>
        <v>168.6</v>
      </c>
      <c r="G19" s="90">
        <f t="shared" si="1"/>
        <v>7.3885350318471307E-2</v>
      </c>
      <c r="H19" s="1"/>
      <c r="I19" s="17"/>
      <c r="J19" s="17"/>
      <c r="K19" s="1"/>
      <c r="L19" s="38" t="s">
        <v>12</v>
      </c>
      <c r="M19" s="39">
        <v>0.4</v>
      </c>
      <c r="N19" s="1"/>
      <c r="O19" s="37"/>
      <c r="P19" s="37"/>
      <c r="Q19" s="36"/>
      <c r="R19" s="36"/>
      <c r="S19" s="36"/>
      <c r="T19" s="36"/>
      <c r="U19" s="36"/>
      <c r="V19" s="36"/>
    </row>
    <row r="20" spans="2:22" x14ac:dyDescent="0.2">
      <c r="B20" s="17"/>
      <c r="C20" s="3"/>
      <c r="D20" s="3" t="s">
        <v>13</v>
      </c>
      <c r="E20" s="21">
        <v>163</v>
      </c>
      <c r="F20" s="89">
        <f t="shared" si="0"/>
        <v>169.9</v>
      </c>
      <c r="G20" s="90">
        <f t="shared" si="1"/>
        <v>4.2331288343558315E-2</v>
      </c>
      <c r="H20" s="1"/>
      <c r="I20" s="17"/>
      <c r="J20" s="17"/>
      <c r="K20" s="1"/>
      <c r="L20" s="83" t="s">
        <v>15</v>
      </c>
      <c r="M20" s="84">
        <f>SUM(M17:M19)</f>
        <v>1</v>
      </c>
      <c r="N20" s="1"/>
      <c r="O20" s="37"/>
      <c r="P20" s="37"/>
      <c r="Q20" s="36"/>
      <c r="R20" s="36"/>
      <c r="S20" s="36"/>
      <c r="T20" s="36"/>
      <c r="U20" s="36"/>
      <c r="V20" s="36"/>
    </row>
    <row r="21" spans="2:22" x14ac:dyDescent="0.2">
      <c r="B21" s="17"/>
      <c r="C21" s="3"/>
      <c r="D21" s="3" t="s">
        <v>16</v>
      </c>
      <c r="E21" s="21">
        <v>183</v>
      </c>
      <c r="F21" s="89">
        <f t="shared" si="0"/>
        <v>182.2</v>
      </c>
      <c r="G21" s="90">
        <f t="shared" si="1"/>
        <v>4.3715846994536144E-3</v>
      </c>
      <c r="H21" s="1"/>
      <c r="I21" s="17"/>
      <c r="J21" s="17"/>
      <c r="K21" s="1"/>
      <c r="L21" s="17"/>
      <c r="M21" s="17"/>
      <c r="N21" s="1"/>
    </row>
    <row r="22" spans="2:22" ht="14.75" customHeight="1" x14ac:dyDescent="0.2">
      <c r="B22" s="17"/>
      <c r="C22" s="3"/>
      <c r="D22" s="3" t="s">
        <v>17</v>
      </c>
      <c r="E22" s="21">
        <v>196</v>
      </c>
      <c r="F22" s="89">
        <f t="shared" si="0"/>
        <v>145.35</v>
      </c>
      <c r="G22" s="90">
        <f t="shared" si="1"/>
        <v>0.25841836734693879</v>
      </c>
      <c r="H22" s="1"/>
      <c r="I22" s="17"/>
      <c r="J22" s="17"/>
      <c r="K22" s="1"/>
      <c r="L22" s="17"/>
      <c r="M22" s="17"/>
      <c r="N22" s="1"/>
    </row>
    <row r="23" spans="2:22" x14ac:dyDescent="0.2">
      <c r="B23" s="17"/>
      <c r="C23" s="3"/>
      <c r="D23" s="3" t="s">
        <v>19</v>
      </c>
      <c r="E23" s="21">
        <v>159</v>
      </c>
      <c r="F23" s="89">
        <f t="shared" si="0"/>
        <v>161.05000000000001</v>
      </c>
      <c r="G23" s="90">
        <f t="shared" si="1"/>
        <v>1.2893081761006361E-2</v>
      </c>
      <c r="H23" s="1"/>
      <c r="I23" s="17"/>
      <c r="J23" s="17"/>
      <c r="K23" s="1"/>
      <c r="L23" s="17"/>
      <c r="M23" s="17"/>
      <c r="N23" s="1"/>
    </row>
    <row r="24" spans="2:22" x14ac:dyDescent="0.2">
      <c r="B24" s="17"/>
      <c r="C24" s="3"/>
      <c r="D24" s="3" t="s">
        <v>20</v>
      </c>
      <c r="E24" s="21">
        <v>166</v>
      </c>
      <c r="F24" s="89">
        <f t="shared" si="0"/>
        <v>161.1</v>
      </c>
      <c r="G24" s="90">
        <f t="shared" si="1"/>
        <v>2.951807228915666E-2</v>
      </c>
      <c r="H24" s="1"/>
      <c r="I24" s="17"/>
      <c r="J24" s="17"/>
      <c r="K24" s="1"/>
      <c r="L24" s="17"/>
      <c r="M24" s="17"/>
      <c r="N24" s="17"/>
    </row>
    <row r="25" spans="2:22" x14ac:dyDescent="0.2">
      <c r="B25" s="17"/>
      <c r="C25" s="3"/>
      <c r="D25" s="3" t="s">
        <v>21</v>
      </c>
      <c r="E25" s="21">
        <v>171</v>
      </c>
      <c r="F25" s="89">
        <f t="shared" si="0"/>
        <v>168.25</v>
      </c>
      <c r="G25" s="90">
        <f t="shared" si="1"/>
        <v>1.6081871345029239E-2</v>
      </c>
      <c r="H25" s="1"/>
      <c r="I25" s="17"/>
      <c r="J25" s="17"/>
      <c r="K25" s="1"/>
      <c r="L25" s="17"/>
      <c r="M25" s="17"/>
      <c r="N25" s="17"/>
    </row>
    <row r="26" spans="2:22" x14ac:dyDescent="0.2">
      <c r="B26" s="17"/>
      <c r="C26" s="3"/>
      <c r="D26" s="3" t="s">
        <v>22</v>
      </c>
      <c r="E26" s="21">
        <v>190</v>
      </c>
      <c r="F26" s="89">
        <f t="shared" si="0"/>
        <v>178.2</v>
      </c>
      <c r="G26" s="90">
        <f t="shared" si="1"/>
        <v>6.2105263157894795E-2</v>
      </c>
      <c r="H26" s="1"/>
      <c r="I26" s="17"/>
      <c r="J26" s="17"/>
      <c r="K26" s="17"/>
      <c r="L26" s="1"/>
      <c r="M26" s="17"/>
      <c r="N26" s="17"/>
    </row>
    <row r="27" spans="2:22" x14ac:dyDescent="0.2">
      <c r="B27" s="17"/>
      <c r="C27" s="3"/>
      <c r="D27" s="3" t="s">
        <v>23</v>
      </c>
      <c r="E27" s="21">
        <v>192</v>
      </c>
      <c r="F27" s="89">
        <f t="shared" si="0"/>
        <v>190.9</v>
      </c>
      <c r="G27" s="90">
        <f t="shared" si="1"/>
        <v>5.7291666666666368E-3</v>
      </c>
      <c r="H27" s="1"/>
      <c r="I27" s="17"/>
      <c r="J27" s="17"/>
      <c r="K27" s="17"/>
      <c r="L27" s="1"/>
      <c r="M27" s="17"/>
      <c r="N27" s="17"/>
    </row>
    <row r="28" spans="2:22" x14ac:dyDescent="0.2">
      <c r="B28" s="17"/>
      <c r="C28" s="7"/>
      <c r="D28" s="7" t="s">
        <v>24</v>
      </c>
      <c r="E28" s="23">
        <v>202</v>
      </c>
      <c r="F28" s="89">
        <f t="shared" si="0"/>
        <v>164.1</v>
      </c>
      <c r="G28" s="90">
        <f t="shared" si="1"/>
        <v>0.18762376237623765</v>
      </c>
      <c r="H28" s="1"/>
      <c r="I28" s="17"/>
      <c r="J28" s="17"/>
      <c r="K28" s="17"/>
      <c r="L28" s="1"/>
      <c r="M28" s="17"/>
      <c r="N28" s="17"/>
    </row>
    <row r="29" spans="2:22" x14ac:dyDescent="0.2">
      <c r="B29" s="17"/>
      <c r="C29" s="3">
        <v>3</v>
      </c>
      <c r="D29" s="3" t="s">
        <v>7</v>
      </c>
      <c r="E29" s="62"/>
      <c r="F29" s="22"/>
      <c r="G29" s="85"/>
      <c r="H29" s="1"/>
      <c r="I29" s="17"/>
      <c r="J29" s="17"/>
      <c r="K29" s="17"/>
      <c r="L29" s="1"/>
      <c r="M29" s="17"/>
      <c r="N29" s="17"/>
    </row>
    <row r="30" spans="2:22" x14ac:dyDescent="0.2">
      <c r="B30" s="17"/>
      <c r="C30" s="3"/>
      <c r="D30" s="3"/>
      <c r="E30" s="22"/>
      <c r="F30" s="22"/>
      <c r="G30" s="1"/>
      <c r="H30" s="1"/>
      <c r="I30" s="17"/>
      <c r="J30" s="17"/>
      <c r="K30" s="17"/>
      <c r="L30" s="1"/>
      <c r="M30" s="17"/>
      <c r="N30" s="17"/>
    </row>
    <row r="31" spans="2:22" x14ac:dyDescent="0.2">
      <c r="B31" s="17"/>
      <c r="C31" s="3"/>
      <c r="D31" s="3"/>
      <c r="E31" s="22"/>
      <c r="F31" s="22"/>
      <c r="G31" s="421">
        <f>AVERAGE(G10:G28)</f>
        <v>7.7202403769859956E-2</v>
      </c>
      <c r="H31" s="5"/>
      <c r="I31" s="17"/>
      <c r="J31" s="17"/>
      <c r="K31" s="17"/>
      <c r="L31" s="1"/>
      <c r="M31" s="17"/>
      <c r="N31" s="17"/>
    </row>
    <row r="32" spans="2:22" x14ac:dyDescent="0.2">
      <c r="B32" s="17"/>
      <c r="C32" s="3"/>
      <c r="D32" s="3"/>
      <c r="E32" s="22"/>
      <c r="F32" s="22"/>
      <c r="G32" s="58" t="s">
        <v>26</v>
      </c>
      <c r="H32" s="1"/>
      <c r="I32" s="1"/>
      <c r="J32" s="17"/>
      <c r="K32" s="17"/>
      <c r="L32" s="1"/>
      <c r="M32" s="17"/>
      <c r="N32" s="17"/>
    </row>
    <row r="33" spans="2:14" x14ac:dyDescent="0.2">
      <c r="B33" s="17"/>
      <c r="C33" s="3"/>
      <c r="D33" s="3"/>
      <c r="E33" s="22"/>
      <c r="F33" s="22"/>
      <c r="G33" s="17"/>
      <c r="H33" s="1"/>
      <c r="I33" s="1"/>
      <c r="J33" s="17"/>
      <c r="K33" s="17"/>
      <c r="L33" s="1"/>
      <c r="M33" s="17"/>
      <c r="N33" s="17"/>
    </row>
    <row r="34" spans="2:14" x14ac:dyDescent="0.2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</row>
    <row r="35" spans="2:14" x14ac:dyDescent="0.2">
      <c r="C35" s="6"/>
      <c r="D35" s="6"/>
      <c r="E35" s="8"/>
      <c r="F35" s="6"/>
      <c r="H35" s="5"/>
      <c r="I35" s="5"/>
      <c r="J35" s="5"/>
      <c r="K35" s="5"/>
    </row>
    <row r="36" spans="2:14" x14ac:dyDescent="0.2">
      <c r="C36" s="6"/>
      <c r="D36" s="6"/>
      <c r="E36" s="8"/>
      <c r="F36" s="6"/>
      <c r="G36" s="5"/>
      <c r="H36" s="5"/>
      <c r="I36" s="5"/>
      <c r="J36" s="5"/>
      <c r="K36" s="5"/>
    </row>
    <row r="37" spans="2:14" x14ac:dyDescent="0.2">
      <c r="C37" s="6"/>
      <c r="D37" s="6"/>
      <c r="E37" s="8"/>
      <c r="F37" s="8"/>
      <c r="G37" s="9"/>
      <c r="H37" s="5"/>
      <c r="I37" s="5"/>
      <c r="J37" s="5"/>
      <c r="K37" s="5"/>
    </row>
    <row r="38" spans="2:14" x14ac:dyDescent="0.2">
      <c r="C38" s="6"/>
      <c r="D38" s="6"/>
      <c r="E38" s="8"/>
      <c r="F38" s="8"/>
      <c r="G38" s="9"/>
      <c r="H38" s="5"/>
      <c r="I38" s="5"/>
      <c r="J38" s="5"/>
      <c r="K38" s="5"/>
    </row>
    <row r="39" spans="2:14" x14ac:dyDescent="0.2">
      <c r="C39" s="6"/>
      <c r="D39" s="6"/>
      <c r="E39" s="8"/>
      <c r="F39" s="8"/>
      <c r="G39" s="9"/>
      <c r="H39" s="5"/>
      <c r="I39" s="5"/>
      <c r="J39" s="5"/>
      <c r="K39" s="5"/>
    </row>
    <row r="40" spans="2:14" x14ac:dyDescent="0.2">
      <c r="C40" s="6"/>
      <c r="D40" s="6"/>
      <c r="E40" s="8"/>
      <c r="F40" s="8"/>
      <c r="G40" s="9"/>
      <c r="H40" s="5"/>
      <c r="I40" s="5"/>
      <c r="J40" s="5"/>
      <c r="K40" s="5"/>
    </row>
    <row r="41" spans="2:14" x14ac:dyDescent="0.2">
      <c r="C41" s="6"/>
      <c r="D41" s="6"/>
      <c r="E41" s="6"/>
      <c r="F41" s="10"/>
      <c r="G41" s="5"/>
      <c r="H41" s="5"/>
      <c r="I41" s="5"/>
      <c r="J41" s="5"/>
      <c r="K41" s="5"/>
    </row>
    <row r="42" spans="2:14" x14ac:dyDescent="0.2">
      <c r="C42" s="5"/>
      <c r="D42" s="5"/>
      <c r="E42" s="5"/>
      <c r="F42" s="6"/>
      <c r="H42" s="5"/>
      <c r="I42" s="5"/>
      <c r="J42" s="5"/>
      <c r="K42" s="5"/>
    </row>
    <row r="43" spans="2:14" x14ac:dyDescent="0.2">
      <c r="C43" s="5"/>
      <c r="D43" s="5"/>
      <c r="E43" s="5"/>
      <c r="F43" s="6"/>
      <c r="H43" s="5"/>
      <c r="I43" s="5"/>
      <c r="J43" s="5"/>
      <c r="K43" s="5"/>
    </row>
    <row r="44" spans="2:14" x14ac:dyDescent="0.2">
      <c r="C44" s="5"/>
      <c r="D44" s="5"/>
      <c r="E44" s="5"/>
      <c r="H44" s="5"/>
      <c r="I44" s="5"/>
      <c r="J44" s="5"/>
      <c r="K44" s="5"/>
    </row>
    <row r="45" spans="2:14" x14ac:dyDescent="0.2">
      <c r="C45" s="5"/>
      <c r="D45" s="5"/>
      <c r="E45" s="5"/>
      <c r="H45" s="5"/>
      <c r="I45" s="5"/>
      <c r="J45" s="5"/>
      <c r="K45" s="5"/>
    </row>
    <row r="46" spans="2:14" x14ac:dyDescent="0.2">
      <c r="C46" s="5"/>
      <c r="D46" s="5"/>
      <c r="E46" s="5"/>
      <c r="H46" s="5"/>
      <c r="I46" s="5"/>
      <c r="J46" s="5"/>
      <c r="K46" s="5"/>
    </row>
  </sheetData>
  <mergeCells count="8">
    <mergeCell ref="L16:M16"/>
    <mergeCell ref="U15:V15"/>
    <mergeCell ref="L4:M4"/>
    <mergeCell ref="O15:P15"/>
    <mergeCell ref="R15:S15"/>
    <mergeCell ref="L9:M9"/>
    <mergeCell ref="L10:M10"/>
    <mergeCell ref="L15:M15"/>
  </mergeCells>
  <pageMargins left="0.7" right="0.7" top="0.75" bottom="0.75" header="0.3" footer="0.3"/>
  <pageSetup paperSize="9" orientation="portrait" r:id="rId1"/>
  <picture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169F-DFE2-4A5F-9FCC-7AF67E111645}">
  <sheetPr codeName="Sheet3"/>
  <dimension ref="A1:V55"/>
  <sheetViews>
    <sheetView zoomScale="131" zoomScaleNormal="75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H39" sqref="H39"/>
    </sheetView>
  </sheetViews>
  <sheetFormatPr baseColWidth="10" defaultColWidth="9" defaultRowHeight="15" x14ac:dyDescent="0.2"/>
  <cols>
    <col min="1" max="1" width="3.1640625" style="348" customWidth="1"/>
    <col min="5" max="5" width="10.6640625" bestFit="1" customWidth="1"/>
    <col min="7" max="7" width="12.6640625" customWidth="1"/>
    <col min="9" max="9" width="26" customWidth="1"/>
    <col min="10" max="10" width="17.33203125" customWidth="1"/>
    <col min="11" max="11" width="24.33203125" customWidth="1"/>
    <col min="12" max="12" width="10.6640625" bestFit="1" customWidth="1"/>
    <col min="13" max="13" width="16.83203125" customWidth="1"/>
    <col min="14" max="14" width="16.6640625" customWidth="1"/>
    <col min="15" max="15" width="12.33203125" customWidth="1"/>
  </cols>
  <sheetData>
    <row r="1" spans="2:22" s="348" customFormat="1" ht="15" customHeight="1" x14ac:dyDescent="0.2">
      <c r="B1" s="350"/>
      <c r="C1" s="351"/>
      <c r="D1" s="351"/>
      <c r="E1" s="351"/>
      <c r="F1" s="351"/>
      <c r="G1" s="351"/>
      <c r="H1" s="352"/>
      <c r="I1" s="353"/>
      <c r="J1" s="353"/>
      <c r="K1" s="350"/>
      <c r="L1" s="351"/>
      <c r="M1" s="351"/>
      <c r="N1" s="350"/>
      <c r="O1" s="350"/>
      <c r="P1" s="350"/>
      <c r="Q1" s="350"/>
      <c r="R1" s="350"/>
      <c r="S1" s="350"/>
      <c r="T1" s="350"/>
      <c r="U1" s="350"/>
      <c r="V1" s="350"/>
    </row>
    <row r="2" spans="2:22" x14ac:dyDescent="0.2">
      <c r="B2" s="1"/>
      <c r="C2" s="4"/>
      <c r="D2" s="4"/>
      <c r="E2" s="3"/>
      <c r="F2" s="3"/>
      <c r="G2" s="3"/>
      <c r="H2" s="3"/>
      <c r="I2" s="3"/>
      <c r="J2" s="3"/>
      <c r="K2" s="1"/>
      <c r="L2" s="3"/>
      <c r="M2" s="3"/>
      <c r="N2" s="1"/>
      <c r="O2" s="1"/>
      <c r="P2" s="1"/>
      <c r="Q2" s="1"/>
      <c r="R2" s="1"/>
      <c r="S2" s="1"/>
      <c r="T2" s="1"/>
      <c r="U2" s="1"/>
      <c r="V2" s="1"/>
    </row>
    <row r="3" spans="2:22" x14ac:dyDescent="0.2">
      <c r="B3" s="1"/>
      <c r="C3" s="3"/>
      <c r="D3" s="3"/>
      <c r="E3" s="3" t="s">
        <v>27</v>
      </c>
      <c r="F3" s="3"/>
      <c r="G3" s="3"/>
      <c r="H3" s="3"/>
      <c r="I3" s="3"/>
      <c r="J3" s="3"/>
      <c r="K3" s="3"/>
      <c r="L3" s="17"/>
      <c r="M3" s="3" t="s">
        <v>27</v>
      </c>
      <c r="N3" s="3"/>
      <c r="O3" s="1"/>
      <c r="P3" s="1"/>
      <c r="Q3" s="1"/>
      <c r="R3" s="1"/>
      <c r="S3" s="1"/>
      <c r="T3" s="1"/>
      <c r="U3" s="1"/>
      <c r="V3" s="1"/>
    </row>
    <row r="4" spans="2:22" x14ac:dyDescent="0.2">
      <c r="B4" s="1"/>
      <c r="C4" s="7" t="s">
        <v>0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7" t="s">
        <v>32</v>
      </c>
      <c r="J4" s="7" t="s">
        <v>33</v>
      </c>
      <c r="K4" s="7" t="s">
        <v>34</v>
      </c>
      <c r="L4" s="17"/>
      <c r="M4" s="7" t="s">
        <v>28</v>
      </c>
      <c r="N4" s="7" t="s">
        <v>33</v>
      </c>
      <c r="O4" s="1"/>
      <c r="P4" s="1"/>
      <c r="Q4" s="1"/>
      <c r="R4" s="1"/>
      <c r="S4" s="1"/>
      <c r="T4" s="1"/>
      <c r="U4" s="1"/>
      <c r="V4" s="1"/>
    </row>
    <row r="5" spans="2:22" x14ac:dyDescent="0.2">
      <c r="B5" s="1"/>
      <c r="C5" s="3">
        <v>1</v>
      </c>
      <c r="D5" s="3" t="s">
        <v>7</v>
      </c>
      <c r="E5" s="3">
        <v>1</v>
      </c>
      <c r="F5" s="3">
        <v>1</v>
      </c>
      <c r="G5" s="21">
        <v>105</v>
      </c>
      <c r="H5" s="62"/>
      <c r="I5" s="62"/>
      <c r="J5" s="62">
        <f>AVERAGEIF($D$7:$D$37,D5,$I$7:$I$38)</f>
        <v>0.98515934446477638</v>
      </c>
      <c r="K5" s="21">
        <f>G5/J5</f>
        <v>106.58174293321561</v>
      </c>
      <c r="L5" s="17"/>
      <c r="M5" s="3">
        <v>1</v>
      </c>
      <c r="N5" s="25"/>
      <c r="O5" s="1"/>
      <c r="P5" s="1"/>
      <c r="Q5" s="1"/>
      <c r="R5" s="1"/>
      <c r="S5" s="1"/>
      <c r="T5" s="1"/>
      <c r="U5" s="1"/>
      <c r="V5" s="1"/>
    </row>
    <row r="6" spans="2:22" x14ac:dyDescent="0.2">
      <c r="B6" s="1"/>
      <c r="C6" s="3"/>
      <c r="D6" s="3" t="s">
        <v>9</v>
      </c>
      <c r="E6" s="3">
        <v>2</v>
      </c>
      <c r="F6" s="3">
        <v>2</v>
      </c>
      <c r="G6" s="21">
        <v>78</v>
      </c>
      <c r="H6" s="62"/>
      <c r="I6" s="62"/>
      <c r="J6" s="62">
        <f t="shared" ref="J6:J40" si="0">AVERAGEIF($D$7:$D$37,D6,$I$7:$I$38)</f>
        <v>0.77282801210746777</v>
      </c>
      <c r="K6" s="21">
        <f t="shared" ref="K6:K39" si="1">G6/J6</f>
        <v>100.92801862512393</v>
      </c>
      <c r="L6" s="17"/>
      <c r="M6" s="3">
        <v>2</v>
      </c>
      <c r="N6" s="25"/>
      <c r="O6" s="1"/>
      <c r="P6" s="1"/>
      <c r="Q6" s="1"/>
      <c r="R6" s="1"/>
      <c r="S6" s="1"/>
      <c r="T6" s="1"/>
      <c r="U6" s="1"/>
      <c r="V6" s="1"/>
    </row>
    <row r="7" spans="2:22" x14ac:dyDescent="0.2">
      <c r="B7" s="1"/>
      <c r="C7" s="3"/>
      <c r="D7" s="3" t="s">
        <v>11</v>
      </c>
      <c r="E7" s="3">
        <v>3</v>
      </c>
      <c r="F7" s="3">
        <v>3</v>
      </c>
      <c r="G7" s="21">
        <v>125</v>
      </c>
      <c r="H7" s="62">
        <f>AVERAGE(G5:G9)</f>
        <v>115.8</v>
      </c>
      <c r="I7" s="62">
        <f>G7/H7</f>
        <v>1.0794473229706392</v>
      </c>
      <c r="J7" s="62">
        <f t="shared" si="0"/>
        <v>1.0317250986611863</v>
      </c>
      <c r="K7" s="21">
        <f t="shared" si="1"/>
        <v>121.15630429288356</v>
      </c>
      <c r="L7" s="17"/>
      <c r="M7" s="3">
        <v>3</v>
      </c>
      <c r="N7" s="25"/>
      <c r="O7" s="1"/>
      <c r="P7" s="1"/>
      <c r="Q7" s="1"/>
      <c r="R7" s="1"/>
      <c r="S7" s="1"/>
      <c r="T7" s="1"/>
      <c r="U7" s="1"/>
      <c r="V7" s="1"/>
    </row>
    <row r="8" spans="2:22" x14ac:dyDescent="0.2">
      <c r="B8" s="1"/>
      <c r="C8" s="3"/>
      <c r="D8" s="3" t="s">
        <v>13</v>
      </c>
      <c r="E8" s="3">
        <v>4</v>
      </c>
      <c r="F8" s="3">
        <v>4</v>
      </c>
      <c r="G8" s="21">
        <v>141</v>
      </c>
      <c r="H8" s="62">
        <f t="shared" ref="H8:H37" si="2">AVERAGE(G6:G10)</f>
        <v>114.2</v>
      </c>
      <c r="I8" s="62">
        <f t="shared" ref="I8:I38" si="3">G8/H8</f>
        <v>1.2346760070052538</v>
      </c>
      <c r="J8" s="62">
        <f t="shared" si="0"/>
        <v>1.2379402138742657</v>
      </c>
      <c r="K8" s="21">
        <f t="shared" si="1"/>
        <v>113.89887687606939</v>
      </c>
      <c r="L8" s="17"/>
      <c r="M8" s="3">
        <v>4</v>
      </c>
      <c r="N8" s="25"/>
      <c r="O8" s="1"/>
      <c r="P8" s="1"/>
      <c r="Q8" s="1"/>
      <c r="R8" s="1"/>
      <c r="S8" s="1"/>
      <c r="T8" s="1"/>
      <c r="U8" s="1"/>
      <c r="V8" s="1"/>
    </row>
    <row r="9" spans="2:22" x14ac:dyDescent="0.2">
      <c r="B9" s="1"/>
      <c r="C9" s="3"/>
      <c r="D9" s="3" t="s">
        <v>16</v>
      </c>
      <c r="E9" s="3">
        <v>5</v>
      </c>
      <c r="F9" s="3">
        <v>5</v>
      </c>
      <c r="G9" s="59">
        <v>130</v>
      </c>
      <c r="H9" s="62">
        <f t="shared" si="2"/>
        <v>126.4</v>
      </c>
      <c r="I9" s="62">
        <f t="shared" si="3"/>
        <v>1.0284810126582278</v>
      </c>
      <c r="J9" s="62">
        <f t="shared" si="0"/>
        <v>1.0064072779061888</v>
      </c>
      <c r="K9" s="21">
        <f t="shared" si="1"/>
        <v>129.17235681210744</v>
      </c>
      <c r="L9" s="17"/>
      <c r="M9" s="3">
        <v>5</v>
      </c>
      <c r="N9" s="25"/>
      <c r="O9" s="1"/>
      <c r="P9" s="1"/>
      <c r="Q9" s="1"/>
      <c r="R9" s="1"/>
      <c r="S9" s="1"/>
      <c r="T9" s="1"/>
      <c r="U9" s="1"/>
      <c r="V9" s="1"/>
    </row>
    <row r="10" spans="2:22" x14ac:dyDescent="0.2">
      <c r="B10" s="1"/>
      <c r="C10" s="3"/>
      <c r="D10" s="3" t="s">
        <v>17</v>
      </c>
      <c r="E10" s="3">
        <v>6</v>
      </c>
      <c r="F10" s="3">
        <v>6</v>
      </c>
      <c r="G10" s="59">
        <v>97</v>
      </c>
      <c r="H10" s="62">
        <f t="shared" si="2"/>
        <v>136.19999999999999</v>
      </c>
      <c r="I10" s="62">
        <f t="shared" si="3"/>
        <v>0.71218795888399422</v>
      </c>
      <c r="J10" s="62">
        <f t="shared" si="0"/>
        <v>0.76439369459533524</v>
      </c>
      <c r="K10" s="21">
        <f t="shared" si="1"/>
        <v>126.89795937072863</v>
      </c>
      <c r="L10" s="17"/>
      <c r="M10" s="3">
        <v>6</v>
      </c>
      <c r="N10" s="25"/>
      <c r="O10" s="1"/>
      <c r="P10" s="1"/>
      <c r="Q10" s="1"/>
      <c r="R10" s="1"/>
      <c r="S10" s="1"/>
      <c r="T10" s="1"/>
      <c r="U10" s="1"/>
      <c r="V10" s="1"/>
    </row>
    <row r="11" spans="2:22" x14ac:dyDescent="0.2">
      <c r="B11" s="1"/>
      <c r="C11" s="3"/>
      <c r="D11" s="3" t="s">
        <v>19</v>
      </c>
      <c r="E11" s="3">
        <v>7</v>
      </c>
      <c r="F11" s="3">
        <v>7</v>
      </c>
      <c r="G11" s="59">
        <v>139</v>
      </c>
      <c r="H11" s="62">
        <f t="shared" si="2"/>
        <v>135.80000000000001</v>
      </c>
      <c r="I11" s="62">
        <f t="shared" si="3"/>
        <v>1.0235640648011781</v>
      </c>
      <c r="J11" s="62">
        <f t="shared" si="0"/>
        <v>1.0163203308814046</v>
      </c>
      <c r="K11" s="21">
        <f t="shared" si="1"/>
        <v>136.76790257600391</v>
      </c>
      <c r="L11" s="17"/>
      <c r="M11" s="3">
        <v>7</v>
      </c>
      <c r="N11" s="25"/>
      <c r="O11" s="1"/>
      <c r="P11" s="1"/>
      <c r="Q11" s="1"/>
      <c r="R11" s="1"/>
      <c r="S11" s="1"/>
      <c r="T11" s="1"/>
      <c r="U11" s="1"/>
      <c r="V11" s="1"/>
    </row>
    <row r="12" spans="2:22" x14ac:dyDescent="0.2">
      <c r="B12" s="1"/>
      <c r="C12" s="3"/>
      <c r="D12" s="3" t="s">
        <v>20</v>
      </c>
      <c r="E12" s="3">
        <v>8</v>
      </c>
      <c r="F12" s="3">
        <v>8</v>
      </c>
      <c r="G12" s="59">
        <v>174</v>
      </c>
      <c r="H12" s="62">
        <f t="shared" si="2"/>
        <v>135.19999999999999</v>
      </c>
      <c r="I12" s="62">
        <f t="shared" si="3"/>
        <v>1.2869822485207101</v>
      </c>
      <c r="J12" s="62">
        <f t="shared" si="0"/>
        <v>1.2475852255884312</v>
      </c>
      <c r="K12" s="21">
        <f t="shared" si="1"/>
        <v>139.46942976816018</v>
      </c>
      <c r="L12" s="17"/>
      <c r="M12" s="3">
        <v>8</v>
      </c>
      <c r="N12" s="25"/>
      <c r="O12" s="1"/>
      <c r="P12" s="1"/>
      <c r="Q12" s="1"/>
      <c r="R12" s="1"/>
      <c r="S12" s="1"/>
      <c r="T12" s="1"/>
      <c r="U12" s="1"/>
      <c r="V12" s="1"/>
    </row>
    <row r="13" spans="2:22" x14ac:dyDescent="0.2">
      <c r="B13" s="1"/>
      <c r="C13" s="3"/>
      <c r="D13" s="3" t="s">
        <v>21</v>
      </c>
      <c r="E13" s="3">
        <v>9</v>
      </c>
      <c r="F13" s="3">
        <v>9</v>
      </c>
      <c r="G13" s="59">
        <v>139</v>
      </c>
      <c r="H13" s="62">
        <f t="shared" si="2"/>
        <v>145.4</v>
      </c>
      <c r="I13" s="62">
        <f t="shared" si="3"/>
        <v>0.95598349381017877</v>
      </c>
      <c r="J13" s="62">
        <f t="shared" si="0"/>
        <v>0.9829190290905846</v>
      </c>
      <c r="K13" s="21">
        <f t="shared" si="1"/>
        <v>141.41551428565327</v>
      </c>
      <c r="L13" s="17"/>
      <c r="M13" s="3">
        <v>9</v>
      </c>
      <c r="N13" s="25"/>
      <c r="O13" s="1"/>
      <c r="P13" s="1"/>
      <c r="Q13" s="1"/>
      <c r="R13" s="1"/>
      <c r="S13" s="1"/>
      <c r="T13" s="1"/>
      <c r="U13" s="1"/>
      <c r="V13" s="1"/>
    </row>
    <row r="14" spans="2:22" x14ac:dyDescent="0.2">
      <c r="B14" s="1"/>
      <c r="C14" s="3"/>
      <c r="D14" s="3" t="s">
        <v>22</v>
      </c>
      <c r="E14" s="3">
        <v>10</v>
      </c>
      <c r="F14" s="3">
        <v>10</v>
      </c>
      <c r="G14" s="59">
        <v>127</v>
      </c>
      <c r="H14" s="62">
        <f t="shared" si="2"/>
        <v>157.6</v>
      </c>
      <c r="I14" s="62">
        <f t="shared" si="3"/>
        <v>0.80583756345177671</v>
      </c>
      <c r="J14" s="62">
        <f t="shared" si="0"/>
        <v>0.77956661600084121</v>
      </c>
      <c r="K14" s="21">
        <f t="shared" si="1"/>
        <v>162.91102953010875</v>
      </c>
      <c r="L14" s="17"/>
      <c r="M14" s="3">
        <v>10</v>
      </c>
      <c r="N14" s="25"/>
      <c r="O14" s="1"/>
      <c r="P14" s="1"/>
      <c r="Q14" s="1"/>
      <c r="R14" s="1"/>
      <c r="S14" s="1"/>
      <c r="T14" s="1"/>
      <c r="U14" s="1"/>
      <c r="V14" s="1"/>
    </row>
    <row r="15" spans="2:22" x14ac:dyDescent="0.2">
      <c r="B15" s="1"/>
      <c r="C15" s="3"/>
      <c r="D15" s="3" t="s">
        <v>23</v>
      </c>
      <c r="E15" s="3">
        <v>11</v>
      </c>
      <c r="F15" s="3">
        <v>11</v>
      </c>
      <c r="G15" s="59">
        <v>148</v>
      </c>
      <c r="H15" s="62">
        <f t="shared" si="2"/>
        <v>153.80000000000001</v>
      </c>
      <c r="I15" s="62">
        <f t="shared" si="3"/>
        <v>0.96228868660598177</v>
      </c>
      <c r="J15" s="62">
        <f t="shared" si="0"/>
        <v>0.97453433386012023</v>
      </c>
      <c r="K15" s="21">
        <f t="shared" si="1"/>
        <v>151.86740462367658</v>
      </c>
      <c r="L15" s="17"/>
      <c r="M15" s="3">
        <v>11</v>
      </c>
      <c r="N15" s="25"/>
      <c r="O15" s="1"/>
      <c r="P15" s="1"/>
      <c r="Q15" s="1"/>
      <c r="R15" s="1"/>
      <c r="S15" s="1"/>
      <c r="T15" s="1"/>
      <c r="U15" s="1"/>
      <c r="V15" s="1"/>
    </row>
    <row r="16" spans="2:22" x14ac:dyDescent="0.2">
      <c r="B16" s="1"/>
      <c r="C16" s="3"/>
      <c r="D16" s="3" t="s">
        <v>24</v>
      </c>
      <c r="E16" s="3">
        <v>12</v>
      </c>
      <c r="F16" s="3">
        <v>12</v>
      </c>
      <c r="G16" s="59">
        <v>200</v>
      </c>
      <c r="H16" s="62">
        <f t="shared" si="2"/>
        <v>154.6</v>
      </c>
      <c r="I16" s="62">
        <f t="shared" si="3"/>
        <v>1.29366106080207</v>
      </c>
      <c r="J16" s="62">
        <f t="shared" si="0"/>
        <v>1.2790420688625734</v>
      </c>
      <c r="K16" s="21">
        <f t="shared" si="1"/>
        <v>156.36702253105403</v>
      </c>
      <c r="L16" s="17"/>
      <c r="M16" s="3">
        <v>12</v>
      </c>
      <c r="N16" s="25"/>
      <c r="O16" s="1"/>
      <c r="P16" s="1"/>
      <c r="Q16" s="1"/>
      <c r="R16" s="1"/>
      <c r="S16" s="1"/>
      <c r="T16" s="1"/>
      <c r="U16" s="1"/>
      <c r="V16" s="1"/>
    </row>
    <row r="17" spans="2:22" x14ac:dyDescent="0.2">
      <c r="B17" s="1"/>
      <c r="C17" s="15">
        <v>2</v>
      </c>
      <c r="D17" s="15" t="s">
        <v>7</v>
      </c>
      <c r="E17" s="15">
        <v>1</v>
      </c>
      <c r="F17" s="15">
        <v>13</v>
      </c>
      <c r="G17" s="15">
        <v>155</v>
      </c>
      <c r="H17" s="62">
        <f t="shared" si="2"/>
        <v>163.80000000000001</v>
      </c>
      <c r="I17" s="62">
        <f>G17/H17</f>
        <v>0.94627594627594624</v>
      </c>
      <c r="J17" s="62">
        <f t="shared" si="0"/>
        <v>0.98515934446477638</v>
      </c>
      <c r="K17" s="21">
        <f t="shared" si="1"/>
        <v>157.33495385379447</v>
      </c>
      <c r="L17" s="3"/>
      <c r="M17" s="3"/>
      <c r="N17" s="1"/>
      <c r="O17" s="1"/>
      <c r="P17" s="1"/>
      <c r="Q17" s="1"/>
      <c r="R17" s="1"/>
      <c r="S17" s="1"/>
      <c r="T17" s="1"/>
      <c r="U17" s="1"/>
      <c r="V17" s="1"/>
    </row>
    <row r="18" spans="2:22" x14ac:dyDescent="0.2">
      <c r="B18" s="1"/>
      <c r="C18" s="15"/>
      <c r="D18" s="15" t="s">
        <v>9</v>
      </c>
      <c r="E18" s="15">
        <v>2</v>
      </c>
      <c r="F18" s="15">
        <v>14</v>
      </c>
      <c r="G18" s="15">
        <v>143</v>
      </c>
      <c r="H18" s="62">
        <f t="shared" si="2"/>
        <v>178</v>
      </c>
      <c r="I18" s="62">
        <f t="shared" si="3"/>
        <v>0.8033707865168539</v>
      </c>
      <c r="J18" s="62">
        <f t="shared" si="0"/>
        <v>0.77282801210746777</v>
      </c>
      <c r="K18" s="21">
        <f t="shared" si="1"/>
        <v>185.03470081272718</v>
      </c>
      <c r="L18" s="24"/>
      <c r="M18" s="3"/>
      <c r="N18" s="1"/>
      <c r="O18" s="1"/>
      <c r="P18" s="1"/>
      <c r="Q18" s="1"/>
      <c r="R18" s="1"/>
      <c r="S18" s="1"/>
      <c r="T18" s="1"/>
      <c r="U18" s="1"/>
      <c r="V18" s="1"/>
    </row>
    <row r="19" spans="2:22" x14ac:dyDescent="0.2">
      <c r="B19" s="1"/>
      <c r="C19" s="15"/>
      <c r="D19" s="15" t="s">
        <v>11</v>
      </c>
      <c r="E19" s="15">
        <v>3</v>
      </c>
      <c r="F19" s="15">
        <v>15</v>
      </c>
      <c r="G19" s="15">
        <v>173</v>
      </c>
      <c r="H19" s="62">
        <f t="shared" si="2"/>
        <v>175.6</v>
      </c>
      <c r="I19" s="62">
        <f t="shared" si="3"/>
        <v>0.98519362186788162</v>
      </c>
      <c r="J19" s="62">
        <f t="shared" si="0"/>
        <v>1.0317250986611863</v>
      </c>
      <c r="K19" s="21">
        <f t="shared" si="1"/>
        <v>167.68032514135083</v>
      </c>
      <c r="L19" s="17"/>
      <c r="M19" s="17"/>
      <c r="N19" s="1"/>
      <c r="O19" s="1"/>
      <c r="P19" s="1"/>
      <c r="Q19" s="1"/>
      <c r="R19" s="1"/>
      <c r="S19" s="1"/>
      <c r="T19" s="1"/>
      <c r="U19" s="1"/>
      <c r="V19" s="1"/>
    </row>
    <row r="20" spans="2:22" x14ac:dyDescent="0.2">
      <c r="B20" s="1"/>
      <c r="C20" s="15"/>
      <c r="D20" s="15" t="s">
        <v>13</v>
      </c>
      <c r="E20" s="15">
        <v>4</v>
      </c>
      <c r="F20" s="15">
        <v>16</v>
      </c>
      <c r="G20" s="15">
        <v>219</v>
      </c>
      <c r="H20" s="62">
        <f t="shared" si="2"/>
        <v>175.4</v>
      </c>
      <c r="I20" s="62">
        <f t="shared" si="3"/>
        <v>1.2485746864310148</v>
      </c>
      <c r="J20" s="62">
        <f t="shared" si="0"/>
        <v>1.2379402138742657</v>
      </c>
      <c r="K20" s="21">
        <f t="shared" si="1"/>
        <v>176.90676621176735</v>
      </c>
      <c r="L20" s="2"/>
      <c r="M20" s="19"/>
      <c r="N20" s="1"/>
      <c r="O20" s="1"/>
      <c r="P20" s="1"/>
      <c r="Q20" s="1"/>
      <c r="R20" s="1"/>
      <c r="S20" s="1"/>
      <c r="T20" s="1"/>
      <c r="U20" s="1"/>
      <c r="V20" s="1"/>
    </row>
    <row r="21" spans="2:22" x14ac:dyDescent="0.2">
      <c r="B21" s="1"/>
      <c r="C21" s="15"/>
      <c r="D21" s="15" t="s">
        <v>16</v>
      </c>
      <c r="E21" s="15">
        <v>5</v>
      </c>
      <c r="F21" s="15">
        <v>17</v>
      </c>
      <c r="G21" s="15">
        <v>188</v>
      </c>
      <c r="H21" s="62">
        <f t="shared" si="2"/>
        <v>187.6</v>
      </c>
      <c r="I21" s="62">
        <f>G21/H21</f>
        <v>1.0021321961620469</v>
      </c>
      <c r="J21" s="62">
        <f>AVERAGEIF($D$7:$D$37,D21,$I$7:$I$38)</f>
        <v>1.0064072779061888</v>
      </c>
      <c r="K21" s="21">
        <f t="shared" si="1"/>
        <v>186.80310062058615</v>
      </c>
      <c r="L21" s="20"/>
      <c r="M21" s="17"/>
      <c r="N21" s="17"/>
      <c r="O21" s="1"/>
      <c r="P21" s="1"/>
      <c r="Q21" s="1"/>
      <c r="R21" s="1"/>
      <c r="S21" s="1"/>
      <c r="T21" s="1"/>
      <c r="U21" s="1"/>
      <c r="V21" s="1"/>
    </row>
    <row r="22" spans="2:22" x14ac:dyDescent="0.2">
      <c r="B22" s="1"/>
      <c r="C22" s="15"/>
      <c r="D22" s="15" t="s">
        <v>17</v>
      </c>
      <c r="E22" s="15">
        <v>6</v>
      </c>
      <c r="F22" s="15">
        <v>18</v>
      </c>
      <c r="G22" s="15">
        <v>154</v>
      </c>
      <c r="H22" s="62">
        <f t="shared" si="2"/>
        <v>199.6</v>
      </c>
      <c r="I22" s="62">
        <f t="shared" si="3"/>
        <v>0.77154308617234468</v>
      </c>
      <c r="J22" s="62">
        <f t="shared" si="0"/>
        <v>0.76439369459533524</v>
      </c>
      <c r="K22" s="21">
        <f t="shared" si="1"/>
        <v>201.4668633308475</v>
      </c>
      <c r="L22" s="2"/>
      <c r="M22" s="17"/>
      <c r="N22" s="1"/>
      <c r="O22" s="1"/>
      <c r="P22" s="1"/>
      <c r="Q22" s="1"/>
      <c r="R22" s="1"/>
      <c r="S22" s="1"/>
      <c r="T22" s="1"/>
      <c r="U22" s="1"/>
      <c r="V22" s="1"/>
    </row>
    <row r="23" spans="2:22" x14ac:dyDescent="0.2">
      <c r="B23" s="1"/>
      <c r="C23" s="15"/>
      <c r="D23" s="15" t="s">
        <v>19</v>
      </c>
      <c r="E23" s="15">
        <v>7</v>
      </c>
      <c r="F23" s="15">
        <v>19</v>
      </c>
      <c r="G23" s="15">
        <v>204</v>
      </c>
      <c r="H23" s="62">
        <f t="shared" si="2"/>
        <v>195.2</v>
      </c>
      <c r="I23" s="62">
        <f t="shared" si="3"/>
        <v>1.0450819672131149</v>
      </c>
      <c r="J23" s="62">
        <f t="shared" si="0"/>
        <v>1.0163203308814046</v>
      </c>
      <c r="K23" s="21">
        <f t="shared" si="1"/>
        <v>200.72411601082587</v>
      </c>
      <c r="L23" s="17"/>
      <c r="M23" s="17"/>
      <c r="N23" s="1"/>
      <c r="O23" s="1"/>
      <c r="P23" s="1"/>
      <c r="Q23" s="1"/>
      <c r="R23" s="1"/>
      <c r="S23" s="1"/>
      <c r="T23" s="1"/>
      <c r="U23" s="1"/>
      <c r="V23" s="1"/>
    </row>
    <row r="24" spans="2:22" x14ac:dyDescent="0.2">
      <c r="B24" s="1"/>
      <c r="C24" s="15"/>
      <c r="D24" s="15" t="s">
        <v>20</v>
      </c>
      <c r="E24" s="15">
        <v>8</v>
      </c>
      <c r="F24" s="15">
        <v>20</v>
      </c>
      <c r="G24" s="15">
        <v>233</v>
      </c>
      <c r="H24" s="62">
        <f t="shared" si="2"/>
        <v>189.6</v>
      </c>
      <c r="I24" s="62">
        <f t="shared" si="3"/>
        <v>1.2289029535864979</v>
      </c>
      <c r="J24" s="62">
        <f t="shared" si="0"/>
        <v>1.2475852255884312</v>
      </c>
      <c r="K24" s="21">
        <f t="shared" si="1"/>
        <v>186.76078813782371</v>
      </c>
      <c r="L24" s="17"/>
      <c r="M24" s="17"/>
      <c r="N24" s="1"/>
      <c r="O24" s="1"/>
      <c r="P24" s="1"/>
      <c r="Q24" s="1"/>
      <c r="R24" s="1"/>
      <c r="S24" s="1"/>
      <c r="T24" s="1"/>
      <c r="U24" s="1"/>
      <c r="V24" s="1"/>
    </row>
    <row r="25" spans="2:22" x14ac:dyDescent="0.2">
      <c r="B25" s="1"/>
      <c r="C25" s="15"/>
      <c r="D25" s="15" t="s">
        <v>21</v>
      </c>
      <c r="E25" s="15">
        <v>9</v>
      </c>
      <c r="F25" s="15">
        <v>21</v>
      </c>
      <c r="G25" s="15">
        <v>197</v>
      </c>
      <c r="H25" s="62">
        <f t="shared" si="2"/>
        <v>200.6</v>
      </c>
      <c r="I25" s="62">
        <f t="shared" si="3"/>
        <v>0.98205383848454642</v>
      </c>
      <c r="J25" s="62">
        <f t="shared" si="0"/>
        <v>0.9829190290905846</v>
      </c>
      <c r="K25" s="21">
        <f t="shared" si="1"/>
        <v>200.42342672139347</v>
      </c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</row>
    <row r="26" spans="2:22" x14ac:dyDescent="0.2">
      <c r="B26" s="1"/>
      <c r="C26" s="15"/>
      <c r="D26" s="15" t="s">
        <v>22</v>
      </c>
      <c r="E26" s="15">
        <v>10</v>
      </c>
      <c r="F26" s="15">
        <v>22</v>
      </c>
      <c r="G26" s="15">
        <v>160</v>
      </c>
      <c r="H26" s="62">
        <f t="shared" si="2"/>
        <v>212.4</v>
      </c>
      <c r="I26" s="62">
        <f t="shared" si="3"/>
        <v>0.75329566854990582</v>
      </c>
      <c r="J26" s="62">
        <f t="shared" si="0"/>
        <v>0.77956661600084121</v>
      </c>
      <c r="K26" s="21">
        <f t="shared" si="1"/>
        <v>205.24224192769609</v>
      </c>
      <c r="L26" s="3"/>
      <c r="M26" s="13"/>
      <c r="N26" s="1"/>
      <c r="O26" s="1"/>
      <c r="P26" s="1"/>
      <c r="Q26" s="1"/>
      <c r="R26" s="1"/>
      <c r="S26" s="1"/>
      <c r="T26" s="1"/>
      <c r="U26" s="1"/>
      <c r="V26" s="1"/>
    </row>
    <row r="27" spans="2:22" x14ac:dyDescent="0.2">
      <c r="B27" s="1"/>
      <c r="C27" s="15"/>
      <c r="D27" s="15" t="s">
        <v>23</v>
      </c>
      <c r="E27" s="15">
        <v>11</v>
      </c>
      <c r="F27" s="15">
        <v>23</v>
      </c>
      <c r="G27" s="15">
        <v>209</v>
      </c>
      <c r="H27" s="62">
        <f t="shared" si="2"/>
        <v>211.8</v>
      </c>
      <c r="I27" s="62">
        <f t="shared" si="3"/>
        <v>0.98677998111425869</v>
      </c>
      <c r="J27" s="62">
        <f t="shared" si="0"/>
        <v>0.97453433386012023</v>
      </c>
      <c r="K27" s="21">
        <f t="shared" si="1"/>
        <v>214.46140247532708</v>
      </c>
      <c r="L27" s="3"/>
      <c r="M27" s="13"/>
      <c r="N27" s="1"/>
      <c r="O27" s="1"/>
      <c r="P27" s="1"/>
      <c r="Q27" s="1"/>
      <c r="R27" s="1"/>
      <c r="S27" s="1"/>
      <c r="T27" s="1"/>
      <c r="U27" s="1"/>
      <c r="V27" s="1"/>
    </row>
    <row r="28" spans="2:22" x14ac:dyDescent="0.2">
      <c r="B28" s="1"/>
      <c r="C28" s="15"/>
      <c r="D28" s="15" t="s">
        <v>24</v>
      </c>
      <c r="E28" s="15">
        <v>12</v>
      </c>
      <c r="F28" s="15">
        <v>24</v>
      </c>
      <c r="G28" s="15">
        <v>263</v>
      </c>
      <c r="H28" s="62">
        <f t="shared" si="2"/>
        <v>208</v>
      </c>
      <c r="I28" s="62">
        <f t="shared" si="3"/>
        <v>1.2644230769230769</v>
      </c>
      <c r="J28" s="62">
        <f t="shared" si="0"/>
        <v>1.2790420688625734</v>
      </c>
      <c r="K28" s="21">
        <f t="shared" si="1"/>
        <v>205.62263462833607</v>
      </c>
      <c r="L28" s="3"/>
      <c r="M28" s="13"/>
      <c r="N28" s="1"/>
      <c r="O28" s="1"/>
      <c r="P28" s="1"/>
      <c r="Q28" s="1"/>
      <c r="R28" s="1"/>
      <c r="S28" s="1"/>
      <c r="T28" s="1"/>
      <c r="U28" s="1"/>
      <c r="V28" s="1"/>
    </row>
    <row r="29" spans="2:22" x14ac:dyDescent="0.2">
      <c r="B29" s="1"/>
      <c r="C29" s="3">
        <v>3</v>
      </c>
      <c r="D29" s="3" t="s">
        <v>7</v>
      </c>
      <c r="E29" s="3">
        <v>1</v>
      </c>
      <c r="F29" s="3">
        <v>25</v>
      </c>
      <c r="G29" s="59">
        <v>230</v>
      </c>
      <c r="H29" s="62">
        <f t="shared" si="2"/>
        <v>224.6</v>
      </c>
      <c r="I29" s="62">
        <f t="shared" si="3"/>
        <v>1.0240427426536065</v>
      </c>
      <c r="J29" s="62">
        <f t="shared" si="0"/>
        <v>0.98515934446477638</v>
      </c>
      <c r="K29" s="21">
        <f t="shared" si="1"/>
        <v>233.46477023466275</v>
      </c>
      <c r="L29" s="3"/>
      <c r="M29" s="13"/>
      <c r="N29" s="1"/>
      <c r="O29" s="1"/>
      <c r="P29" s="1"/>
      <c r="Q29" s="1"/>
      <c r="R29" s="1"/>
      <c r="S29" s="1"/>
      <c r="T29" s="1"/>
      <c r="U29" s="1"/>
      <c r="V29" s="1"/>
    </row>
    <row r="30" spans="2:22" x14ac:dyDescent="0.2">
      <c r="B30" s="1"/>
      <c r="C30" s="3"/>
      <c r="D30" s="3" t="s">
        <v>9</v>
      </c>
      <c r="E30" s="3">
        <v>2</v>
      </c>
      <c r="F30" s="3">
        <v>26</v>
      </c>
      <c r="G30" s="59">
        <v>178</v>
      </c>
      <c r="H30" s="62">
        <f t="shared" si="2"/>
        <v>239.8</v>
      </c>
      <c r="I30" s="62">
        <f t="shared" si="3"/>
        <v>0.74228523769808175</v>
      </c>
      <c r="J30" s="62">
        <f t="shared" si="0"/>
        <v>0.77282801210746777</v>
      </c>
      <c r="K30" s="21">
        <f t="shared" si="1"/>
        <v>230.32291429835971</v>
      </c>
      <c r="L30" s="3"/>
      <c r="M30" s="13"/>
      <c r="N30" s="1"/>
      <c r="O30" s="1"/>
      <c r="P30" s="1"/>
      <c r="Q30" s="1"/>
      <c r="R30" s="1"/>
      <c r="S30" s="1"/>
      <c r="T30" s="1"/>
      <c r="U30" s="1"/>
      <c r="V30" s="1"/>
    </row>
    <row r="31" spans="2:22" x14ac:dyDescent="0.2">
      <c r="B31" s="1"/>
      <c r="C31" s="3"/>
      <c r="D31" s="3" t="s">
        <v>11</v>
      </c>
      <c r="E31" s="3">
        <v>3</v>
      </c>
      <c r="F31" s="3">
        <v>27</v>
      </c>
      <c r="G31" s="59">
        <v>243</v>
      </c>
      <c r="H31" s="62">
        <f t="shared" si="2"/>
        <v>235.8</v>
      </c>
      <c r="I31" s="62">
        <f t="shared" si="3"/>
        <v>1.0305343511450382</v>
      </c>
      <c r="J31" s="62">
        <f t="shared" si="0"/>
        <v>1.0317250986611863</v>
      </c>
      <c r="K31" s="21">
        <f t="shared" si="1"/>
        <v>235.52785554536564</v>
      </c>
      <c r="L31" s="3"/>
      <c r="M31" s="13"/>
      <c r="N31" s="1"/>
      <c r="O31" s="1"/>
      <c r="P31" s="1"/>
      <c r="Q31" s="1"/>
      <c r="R31" s="1"/>
      <c r="S31" s="1"/>
      <c r="T31" s="1"/>
      <c r="U31" s="1"/>
      <c r="V31" s="1"/>
    </row>
    <row r="32" spans="2:22" x14ac:dyDescent="0.2">
      <c r="B32" s="1"/>
      <c r="C32" s="3"/>
      <c r="D32" s="3" t="s">
        <v>13</v>
      </c>
      <c r="E32" s="3">
        <v>4</v>
      </c>
      <c r="F32" s="3">
        <v>28</v>
      </c>
      <c r="G32" s="59">
        <v>285</v>
      </c>
      <c r="H32" s="62">
        <f t="shared" si="2"/>
        <v>231.6</v>
      </c>
      <c r="I32" s="62">
        <f t="shared" si="3"/>
        <v>1.2305699481865284</v>
      </c>
      <c r="J32" s="62">
        <f t="shared" si="0"/>
        <v>1.2379402138742657</v>
      </c>
      <c r="K32" s="21">
        <f t="shared" si="1"/>
        <v>230.22113411120409</v>
      </c>
      <c r="L32" s="3"/>
      <c r="M32" s="13"/>
      <c r="N32" s="1"/>
      <c r="O32" s="1"/>
      <c r="P32" s="1"/>
      <c r="Q32" s="1"/>
      <c r="R32" s="1"/>
      <c r="S32" s="1"/>
      <c r="T32" s="1"/>
      <c r="U32" s="1"/>
      <c r="V32" s="1"/>
    </row>
    <row r="33" spans="2:22" x14ac:dyDescent="0.2">
      <c r="B33" s="1"/>
      <c r="C33" s="3"/>
      <c r="D33" s="3" t="s">
        <v>16</v>
      </c>
      <c r="E33" s="3">
        <v>5</v>
      </c>
      <c r="F33" s="3">
        <v>29</v>
      </c>
      <c r="G33" s="59">
        <v>243</v>
      </c>
      <c r="H33" s="62">
        <f t="shared" si="2"/>
        <v>245.8</v>
      </c>
      <c r="I33" s="62">
        <f t="shared" si="3"/>
        <v>0.98860862489829127</v>
      </c>
      <c r="J33" s="62">
        <f t="shared" si="0"/>
        <v>1.0064072779061888</v>
      </c>
      <c r="K33" s="21">
        <f t="shared" si="1"/>
        <v>241.45294388724702</v>
      </c>
      <c r="L33" s="3"/>
      <c r="M33" s="13"/>
      <c r="N33" s="1"/>
      <c r="O33" s="1"/>
      <c r="P33" s="1"/>
      <c r="Q33" s="1"/>
      <c r="R33" s="1"/>
      <c r="S33" s="1"/>
      <c r="T33" s="1"/>
      <c r="U33" s="1"/>
      <c r="V33" s="1"/>
    </row>
    <row r="34" spans="2:22" x14ac:dyDescent="0.2">
      <c r="B34" s="1"/>
      <c r="C34" s="3"/>
      <c r="D34" s="3" t="s">
        <v>17</v>
      </c>
      <c r="E34" s="3">
        <v>6</v>
      </c>
      <c r="F34" s="3">
        <v>30</v>
      </c>
      <c r="G34" s="59">
        <v>209</v>
      </c>
      <c r="H34" s="62">
        <f t="shared" si="2"/>
        <v>258.2</v>
      </c>
      <c r="I34" s="62">
        <f t="shared" si="3"/>
        <v>0.80945003872966692</v>
      </c>
      <c r="J34" s="62">
        <f t="shared" si="0"/>
        <v>0.76439369459533524</v>
      </c>
      <c r="K34" s="21">
        <f t="shared" si="1"/>
        <v>273.41931452043593</v>
      </c>
      <c r="L34" s="3"/>
      <c r="M34" s="13"/>
      <c r="N34" s="1"/>
      <c r="O34" s="1"/>
      <c r="P34" s="1"/>
      <c r="Q34" s="1"/>
      <c r="R34" s="1"/>
      <c r="S34" s="1"/>
      <c r="T34" s="1"/>
      <c r="U34" s="1"/>
      <c r="V34" s="1"/>
    </row>
    <row r="35" spans="2:22" x14ac:dyDescent="0.2">
      <c r="B35" s="1"/>
      <c r="C35" s="3"/>
      <c r="D35" s="3" t="s">
        <v>19</v>
      </c>
      <c r="E35" s="3">
        <v>7</v>
      </c>
      <c r="F35" s="3">
        <v>31</v>
      </c>
      <c r="G35" s="59">
        <v>249</v>
      </c>
      <c r="H35" s="62">
        <f t="shared" si="2"/>
        <v>254</v>
      </c>
      <c r="I35" s="62">
        <f t="shared" si="3"/>
        <v>0.98031496062992129</v>
      </c>
      <c r="J35" s="62">
        <f t="shared" si="0"/>
        <v>1.0163203308814046</v>
      </c>
      <c r="K35" s="21">
        <f t="shared" si="1"/>
        <v>245.00149454262569</v>
      </c>
      <c r="L35" s="3"/>
      <c r="M35" s="13"/>
      <c r="N35" s="1"/>
      <c r="O35" s="1"/>
      <c r="P35" s="1"/>
      <c r="Q35" s="1"/>
      <c r="R35" s="1"/>
      <c r="S35" s="1"/>
      <c r="T35" s="1"/>
      <c r="U35" s="1"/>
      <c r="V35" s="1"/>
    </row>
    <row r="36" spans="2:22" x14ac:dyDescent="0.2">
      <c r="B36" s="1"/>
      <c r="C36" s="13"/>
      <c r="D36" s="3" t="s">
        <v>20</v>
      </c>
      <c r="E36" s="3">
        <v>8</v>
      </c>
      <c r="F36" s="3">
        <v>32</v>
      </c>
      <c r="G36" s="59">
        <v>305</v>
      </c>
      <c r="H36" s="62">
        <f t="shared" si="2"/>
        <v>248.6</v>
      </c>
      <c r="I36" s="62">
        <f t="shared" si="3"/>
        <v>1.2268704746580854</v>
      </c>
      <c r="J36" s="62">
        <f t="shared" si="0"/>
        <v>1.2475852255884312</v>
      </c>
      <c r="K36" s="21">
        <f t="shared" si="1"/>
        <v>244.47227631775206</v>
      </c>
      <c r="L36" s="3"/>
      <c r="M36" s="13"/>
      <c r="N36" s="1"/>
      <c r="O36" s="1"/>
      <c r="P36" s="1"/>
      <c r="Q36" s="1"/>
      <c r="R36" s="1"/>
      <c r="S36" s="1"/>
      <c r="T36" s="1"/>
      <c r="U36" s="1"/>
      <c r="V36" s="1"/>
    </row>
    <row r="37" spans="2:22" x14ac:dyDescent="0.2">
      <c r="B37" s="1"/>
      <c r="C37" s="3"/>
      <c r="D37" s="3" t="s">
        <v>21</v>
      </c>
      <c r="E37" s="3">
        <v>9</v>
      </c>
      <c r="F37" s="3">
        <v>33</v>
      </c>
      <c r="G37" s="59">
        <v>264</v>
      </c>
      <c r="H37" s="62">
        <f t="shared" si="2"/>
        <v>261.2</v>
      </c>
      <c r="I37" s="62">
        <f t="shared" si="3"/>
        <v>1.010719754977029</v>
      </c>
      <c r="J37" s="62">
        <f t="shared" si="0"/>
        <v>0.9829190290905846</v>
      </c>
      <c r="K37" s="21">
        <f t="shared" si="1"/>
        <v>268.5877393626796</v>
      </c>
      <c r="L37" s="3"/>
      <c r="M37" s="13"/>
      <c r="N37" s="1"/>
      <c r="O37" s="1"/>
      <c r="P37" s="1"/>
      <c r="Q37" s="1"/>
      <c r="R37" s="1"/>
      <c r="S37" s="1"/>
      <c r="T37" s="1"/>
      <c r="U37" s="1"/>
      <c r="V37" s="1"/>
    </row>
    <row r="38" spans="2:22" x14ac:dyDescent="0.2">
      <c r="B38" s="1"/>
      <c r="C38" s="3"/>
      <c r="D38" s="3" t="s">
        <v>22</v>
      </c>
      <c r="E38" s="3">
        <v>10</v>
      </c>
      <c r="F38" s="3">
        <v>34</v>
      </c>
      <c r="G38" s="59">
        <v>216</v>
      </c>
      <c r="H38" s="62">
        <f>AVERAGE(G36:G40)</f>
        <v>280.60000000000002</v>
      </c>
      <c r="I38" s="62">
        <f t="shared" si="3"/>
        <v>0.76977904490377758</v>
      </c>
      <c r="J38" s="62">
        <f t="shared" si="0"/>
        <v>0.77956661600084121</v>
      </c>
      <c r="K38" s="21">
        <f t="shared" si="1"/>
        <v>277.07702660238971</v>
      </c>
      <c r="L38" s="3"/>
      <c r="M38" s="13"/>
      <c r="N38" s="1"/>
      <c r="O38" s="1"/>
      <c r="P38" s="1"/>
      <c r="Q38" s="1"/>
      <c r="R38" s="1"/>
      <c r="S38" s="1"/>
      <c r="T38" s="1"/>
      <c r="U38" s="1"/>
      <c r="V38" s="1"/>
    </row>
    <row r="39" spans="2:22" x14ac:dyDescent="0.2">
      <c r="B39" s="1"/>
      <c r="C39" s="3"/>
      <c r="D39" s="3" t="s">
        <v>23</v>
      </c>
      <c r="E39" s="3">
        <v>11</v>
      </c>
      <c r="F39" s="3">
        <v>35</v>
      </c>
      <c r="G39" s="59">
        <v>272</v>
      </c>
      <c r="H39" s="62"/>
      <c r="I39" s="62"/>
      <c r="J39" s="62">
        <f t="shared" si="0"/>
        <v>0.97453433386012023</v>
      </c>
      <c r="K39" s="418">
        <f t="shared" si="1"/>
        <v>279.10766255162184</v>
      </c>
      <c r="L39" s="3"/>
      <c r="M39" s="13"/>
      <c r="N39" s="1"/>
      <c r="O39" s="1"/>
      <c r="P39" s="1"/>
      <c r="Q39" s="1"/>
      <c r="R39" s="1"/>
      <c r="S39" s="1"/>
      <c r="T39" s="1"/>
      <c r="U39" s="1"/>
      <c r="V39" s="1"/>
    </row>
    <row r="40" spans="2:22" x14ac:dyDescent="0.2">
      <c r="B40" s="1"/>
      <c r="C40" s="3"/>
      <c r="D40" s="3" t="s">
        <v>24</v>
      </c>
      <c r="E40" s="3">
        <v>12</v>
      </c>
      <c r="F40" s="3">
        <v>36</v>
      </c>
      <c r="G40" s="60">
        <v>346</v>
      </c>
      <c r="H40" s="62"/>
      <c r="I40" s="62"/>
      <c r="J40" s="62">
        <f t="shared" si="0"/>
        <v>1.2790420688625734</v>
      </c>
      <c r="K40" s="21"/>
      <c r="L40" s="3"/>
      <c r="M40" s="13"/>
      <c r="N40" s="1"/>
      <c r="O40" s="1"/>
      <c r="P40" s="1"/>
      <c r="Q40" s="1"/>
      <c r="R40" s="1"/>
      <c r="S40" s="1"/>
      <c r="T40" s="1"/>
      <c r="U40" s="1"/>
      <c r="V40" s="1"/>
    </row>
    <row r="41" spans="2:22" x14ac:dyDescent="0.2">
      <c r="B41" s="1"/>
      <c r="C41" s="3"/>
      <c r="D41" s="3"/>
      <c r="E41" s="3"/>
      <c r="F41" s="3"/>
      <c r="G41" s="3"/>
      <c r="H41" s="11"/>
      <c r="I41" s="12"/>
      <c r="J41" s="14"/>
      <c r="K41" s="1"/>
      <c r="L41" s="3"/>
      <c r="M41" s="13"/>
      <c r="N41" s="1"/>
      <c r="O41" s="1"/>
      <c r="P41" s="1"/>
      <c r="Q41" s="1"/>
      <c r="R41" s="1"/>
      <c r="S41" s="1"/>
      <c r="T41" s="1"/>
      <c r="U41" s="1"/>
      <c r="V41" s="1"/>
    </row>
    <row r="42" spans="2:22" x14ac:dyDescent="0.2">
      <c r="B42" s="5"/>
      <c r="C42" s="6"/>
      <c r="D42" s="6"/>
      <c r="E42" s="6"/>
      <c r="F42" s="6"/>
      <c r="G42" s="6"/>
      <c r="H42" s="40"/>
      <c r="I42" s="41"/>
      <c r="J42" s="42"/>
      <c r="K42" s="5"/>
      <c r="L42" s="6"/>
      <c r="M42" s="43"/>
      <c r="N42" s="5"/>
      <c r="O42" s="5"/>
      <c r="P42" s="5"/>
      <c r="Q42" s="5"/>
      <c r="R42" s="5"/>
      <c r="S42" s="5"/>
      <c r="T42" s="5"/>
      <c r="U42" s="5"/>
      <c r="V42" s="5"/>
    </row>
    <row r="43" spans="2:22" x14ac:dyDescent="0.2">
      <c r="U43" s="5"/>
      <c r="V43" s="5"/>
    </row>
    <row r="44" spans="2:22" x14ac:dyDescent="0.2">
      <c r="U44" s="5"/>
      <c r="V44" s="5"/>
    </row>
    <row r="45" spans="2:22" x14ac:dyDescent="0.2">
      <c r="B45" s="5"/>
      <c r="C45" s="6"/>
      <c r="D45" s="6"/>
      <c r="E45" s="6"/>
      <c r="F45" s="6"/>
      <c r="G45" s="6"/>
      <c r="H45" s="40"/>
      <c r="I45" s="41"/>
      <c r="J45" s="42"/>
      <c r="K45" s="44"/>
      <c r="L45" s="44"/>
      <c r="M45" s="5"/>
      <c r="N45" s="6"/>
      <c r="O45" s="43"/>
      <c r="P45" s="5"/>
      <c r="Q45" s="5"/>
      <c r="R45" s="5"/>
      <c r="S45" s="5"/>
      <c r="T45" s="5"/>
      <c r="U45" s="5"/>
      <c r="V45" s="5"/>
    </row>
    <row r="46" spans="2:22" x14ac:dyDescent="0.2">
      <c r="B46" s="5"/>
      <c r="C46" s="6"/>
      <c r="D46" s="6"/>
      <c r="E46" s="6"/>
      <c r="F46" s="6"/>
      <c r="G46" s="6"/>
      <c r="H46" s="40"/>
      <c r="I46" s="41"/>
      <c r="J46" s="42"/>
      <c r="K46" s="44"/>
      <c r="L46" s="44"/>
      <c r="M46" s="5"/>
      <c r="N46" s="6"/>
      <c r="O46" s="43"/>
      <c r="P46" s="5"/>
      <c r="Q46" s="5"/>
      <c r="R46" s="5"/>
      <c r="S46" s="5"/>
      <c r="T46" s="5"/>
      <c r="U46" s="5"/>
      <c r="V46" s="5"/>
    </row>
    <row r="47" spans="2:22" x14ac:dyDescent="0.2">
      <c r="B47" s="5"/>
      <c r="C47" s="6"/>
      <c r="D47" s="6"/>
      <c r="E47" s="6"/>
      <c r="F47" s="6"/>
      <c r="G47" s="6"/>
      <c r="H47" s="40"/>
      <c r="I47" s="41"/>
      <c r="J47" s="42"/>
      <c r="K47" s="44"/>
      <c r="L47" s="44"/>
      <c r="M47" s="5"/>
      <c r="N47" s="6"/>
      <c r="O47" s="43"/>
      <c r="P47" s="5"/>
      <c r="Q47" s="5"/>
      <c r="R47" s="5"/>
      <c r="S47" s="5"/>
      <c r="T47" s="5"/>
      <c r="U47" s="5"/>
      <c r="V47" s="5"/>
    </row>
    <row r="48" spans="2:22" x14ac:dyDescent="0.2">
      <c r="B48" s="5"/>
      <c r="C48" s="43"/>
      <c r="D48" s="6"/>
      <c r="E48" s="6"/>
      <c r="F48" s="6"/>
      <c r="G48" s="6"/>
      <c r="H48" s="40"/>
      <c r="I48" s="41"/>
      <c r="J48" s="42"/>
      <c r="K48" s="44"/>
      <c r="L48" s="44"/>
      <c r="M48" s="5"/>
      <c r="N48" s="6"/>
      <c r="O48" s="43"/>
      <c r="P48" s="5"/>
      <c r="Q48" s="5"/>
      <c r="R48" s="5"/>
      <c r="S48" s="5"/>
      <c r="T48" s="5"/>
      <c r="U48" s="5"/>
      <c r="V48" s="5"/>
    </row>
    <row r="49" spans="2:22" x14ac:dyDescent="0.2">
      <c r="B49" s="5"/>
      <c r="C49" s="6"/>
      <c r="D49" s="6"/>
      <c r="E49" s="6"/>
      <c r="F49" s="6"/>
      <c r="G49" s="6"/>
      <c r="H49" s="40"/>
      <c r="I49" s="41"/>
      <c r="J49" s="42"/>
      <c r="K49" s="44"/>
      <c r="L49" s="44"/>
      <c r="M49" s="5"/>
      <c r="N49" s="6"/>
      <c r="O49" s="43"/>
      <c r="P49" s="5"/>
      <c r="Q49" s="5"/>
      <c r="R49" s="5"/>
      <c r="S49" s="5"/>
      <c r="T49" s="5"/>
      <c r="U49" s="5"/>
      <c r="V49" s="5"/>
    </row>
    <row r="50" spans="2:22" x14ac:dyDescent="0.2">
      <c r="B50" s="5"/>
      <c r="C50" s="6"/>
      <c r="D50" s="6"/>
      <c r="E50" s="6"/>
      <c r="F50" s="6"/>
      <c r="G50" s="6"/>
      <c r="H50" s="40"/>
      <c r="I50" s="41"/>
      <c r="J50" s="42"/>
      <c r="K50" s="44"/>
      <c r="L50" s="44"/>
      <c r="M50" s="5"/>
      <c r="N50" s="6"/>
      <c r="O50" s="43"/>
      <c r="P50" s="5"/>
      <c r="Q50" s="5"/>
      <c r="R50" s="5"/>
      <c r="S50" s="5"/>
      <c r="T50" s="5"/>
      <c r="U50" s="5"/>
      <c r="V50" s="5"/>
    </row>
    <row r="51" spans="2:22" x14ac:dyDescent="0.2">
      <c r="B51" s="5"/>
      <c r="C51" s="6"/>
      <c r="D51" s="6"/>
      <c r="E51" s="6"/>
      <c r="F51" s="6"/>
      <c r="G51" s="6"/>
      <c r="H51" s="40"/>
      <c r="I51" s="41"/>
      <c r="J51" s="42"/>
      <c r="K51" s="44"/>
      <c r="L51" s="44"/>
      <c r="M51" s="5"/>
      <c r="N51" s="6"/>
      <c r="O51" s="43"/>
      <c r="P51" s="5"/>
      <c r="Q51" s="5"/>
      <c r="R51" s="5"/>
      <c r="S51" s="5"/>
      <c r="T51" s="5"/>
      <c r="U51" s="5"/>
      <c r="V51" s="5"/>
    </row>
    <row r="52" spans="2:22" x14ac:dyDescent="0.2">
      <c r="B52" s="5"/>
      <c r="C52" s="6"/>
      <c r="D52" s="6"/>
      <c r="E52" s="6"/>
      <c r="F52" s="6"/>
      <c r="G52" s="6"/>
      <c r="H52" s="40"/>
      <c r="I52" s="41"/>
      <c r="J52" s="42"/>
      <c r="K52" s="44"/>
      <c r="L52" s="44"/>
      <c r="M52" s="5"/>
      <c r="N52" s="6"/>
      <c r="O52" s="43"/>
      <c r="P52" s="5"/>
      <c r="Q52" s="5"/>
      <c r="R52" s="5"/>
      <c r="S52" s="5"/>
      <c r="T52" s="5"/>
      <c r="U52" s="5"/>
      <c r="V52" s="5"/>
    </row>
    <row r="53" spans="2:22" x14ac:dyDescent="0.2">
      <c r="B53" s="5"/>
      <c r="C53" s="6"/>
      <c r="D53" s="6"/>
      <c r="E53" s="6"/>
      <c r="F53" s="6"/>
      <c r="G53" s="6"/>
      <c r="H53" s="40"/>
      <c r="I53" s="41"/>
      <c r="J53" s="41"/>
      <c r="K53" s="44"/>
      <c r="L53" s="45"/>
      <c r="M53" s="5"/>
      <c r="N53" s="6"/>
      <c r="O53" s="43"/>
      <c r="P53" s="5"/>
      <c r="Q53" s="5"/>
      <c r="R53" s="5"/>
      <c r="S53" s="5"/>
      <c r="T53" s="5"/>
      <c r="U53" s="5"/>
      <c r="V53" s="5"/>
    </row>
    <row r="54" spans="2:22" x14ac:dyDescent="0.2">
      <c r="P54" s="5"/>
      <c r="Q54" s="5"/>
    </row>
    <row r="55" spans="2:22" x14ac:dyDescent="0.2">
      <c r="P55" s="5"/>
      <c r="Q55" s="5"/>
    </row>
  </sheetData>
  <pageMargins left="0.7" right="0.7" top="0.75" bottom="0.75" header="0.3" footer="0.3"/>
  <drawing r:id="rId1"/>
  <picture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C19F6-4B4C-4494-A501-E24FAB8158EF}">
  <sheetPr codeName="Sheet5"/>
  <dimension ref="A1:Q41"/>
  <sheetViews>
    <sheetView zoomScale="75" zoomScaleNormal="7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5" sqref="E35"/>
    </sheetView>
  </sheetViews>
  <sheetFormatPr baseColWidth="10" defaultColWidth="8.83203125" defaultRowHeight="15" x14ac:dyDescent="0.2"/>
  <cols>
    <col min="1" max="1" width="3.83203125" style="348" customWidth="1"/>
    <col min="5" max="5" width="27" customWidth="1"/>
  </cols>
  <sheetData>
    <row r="1" spans="2:17" s="348" customFormat="1" x14ac:dyDescent="0.2">
      <c r="B1" s="350"/>
      <c r="C1" s="351"/>
      <c r="D1" s="351"/>
      <c r="E1" s="351"/>
      <c r="F1" s="351"/>
      <c r="G1" s="352"/>
      <c r="H1" s="353"/>
      <c r="I1" s="353"/>
    </row>
    <row r="2" spans="2:17" x14ac:dyDescent="0.2">
      <c r="B2" s="1"/>
      <c r="C2" s="4"/>
      <c r="D2" s="4"/>
      <c r="E2" s="3"/>
      <c r="F2" s="3"/>
      <c r="G2" s="3"/>
      <c r="H2" s="3"/>
      <c r="I2" s="3"/>
      <c r="J2" s="17"/>
      <c r="K2" s="17"/>
      <c r="L2" s="17"/>
      <c r="M2" s="17"/>
      <c r="N2" s="17"/>
      <c r="O2" s="17"/>
      <c r="P2" s="17"/>
      <c r="Q2" s="17"/>
    </row>
    <row r="3" spans="2:17" x14ac:dyDescent="0.2">
      <c r="B3" s="1"/>
      <c r="C3" s="3"/>
      <c r="D3" s="3"/>
      <c r="E3" s="3"/>
      <c r="F3" s="3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</row>
    <row r="4" spans="2:17" x14ac:dyDescent="0.2">
      <c r="B4" s="1"/>
      <c r="C4" s="7" t="s">
        <v>0</v>
      </c>
      <c r="D4" s="7" t="s">
        <v>27</v>
      </c>
      <c r="E4" s="7" t="s">
        <v>35</v>
      </c>
      <c r="F4" s="3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</row>
    <row r="5" spans="2:17" x14ac:dyDescent="0.2">
      <c r="B5" s="1"/>
      <c r="C5" s="3">
        <v>1</v>
      </c>
      <c r="D5" s="3" t="s">
        <v>7</v>
      </c>
      <c r="E5" s="55">
        <f>100+5*F5</f>
        <v>105</v>
      </c>
      <c r="F5" s="21">
        <v>1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</row>
    <row r="6" spans="2:17" x14ac:dyDescent="0.2">
      <c r="B6" s="1"/>
      <c r="C6" s="3"/>
      <c r="D6" s="3" t="s">
        <v>9</v>
      </c>
      <c r="E6" s="55">
        <f t="shared" ref="E6:E40" si="0">100+5*F6</f>
        <v>110</v>
      </c>
      <c r="F6" s="21">
        <v>2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</row>
    <row r="7" spans="2:17" x14ac:dyDescent="0.2">
      <c r="B7" s="1"/>
      <c r="C7" s="3"/>
      <c r="D7" s="3" t="s">
        <v>11</v>
      </c>
      <c r="E7" s="55">
        <f t="shared" si="0"/>
        <v>115</v>
      </c>
      <c r="F7" s="21">
        <v>3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</row>
    <row r="8" spans="2:17" x14ac:dyDescent="0.2">
      <c r="B8" s="1"/>
      <c r="C8" s="3"/>
      <c r="D8" s="3" t="s">
        <v>13</v>
      </c>
      <c r="E8" s="55">
        <f t="shared" si="0"/>
        <v>120</v>
      </c>
      <c r="F8" s="21">
        <v>4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</row>
    <row r="9" spans="2:17" x14ac:dyDescent="0.2">
      <c r="B9" s="1"/>
      <c r="C9" s="3"/>
      <c r="D9" s="3" t="s">
        <v>16</v>
      </c>
      <c r="E9" s="55">
        <f t="shared" si="0"/>
        <v>125</v>
      </c>
      <c r="F9" s="21">
        <v>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spans="2:17" x14ac:dyDescent="0.2">
      <c r="B10" s="1"/>
      <c r="C10" s="3"/>
      <c r="D10" s="3" t="s">
        <v>17</v>
      </c>
      <c r="E10" s="55">
        <f t="shared" si="0"/>
        <v>130</v>
      </c>
      <c r="F10" s="21">
        <v>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spans="2:17" x14ac:dyDescent="0.2">
      <c r="B11" s="1"/>
      <c r="C11" s="3"/>
      <c r="D11" s="3" t="s">
        <v>19</v>
      </c>
      <c r="E11" s="55">
        <f t="shared" si="0"/>
        <v>135</v>
      </c>
      <c r="F11" s="21">
        <v>7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spans="2:17" x14ac:dyDescent="0.2">
      <c r="B12" s="1"/>
      <c r="C12" s="3"/>
      <c r="D12" s="3" t="s">
        <v>20</v>
      </c>
      <c r="E12" s="55">
        <f t="shared" si="0"/>
        <v>140</v>
      </c>
      <c r="F12" s="21">
        <v>8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spans="2:17" x14ac:dyDescent="0.2">
      <c r="B13" s="1"/>
      <c r="C13" s="3"/>
      <c r="D13" s="3" t="s">
        <v>21</v>
      </c>
      <c r="E13" s="55">
        <f t="shared" si="0"/>
        <v>145</v>
      </c>
      <c r="F13" s="21">
        <v>9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spans="2:17" x14ac:dyDescent="0.2">
      <c r="B14" s="1"/>
      <c r="C14" s="3"/>
      <c r="D14" s="3" t="s">
        <v>22</v>
      </c>
      <c r="E14" s="55">
        <f t="shared" si="0"/>
        <v>150</v>
      </c>
      <c r="F14" s="21">
        <v>10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spans="2:17" x14ac:dyDescent="0.2">
      <c r="B15" s="1"/>
      <c r="C15" s="3"/>
      <c r="D15" s="3" t="s">
        <v>23</v>
      </c>
      <c r="E15" s="55">
        <f t="shared" si="0"/>
        <v>155</v>
      </c>
      <c r="F15" s="21">
        <v>11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spans="2:17" x14ac:dyDescent="0.2">
      <c r="B16" s="1"/>
      <c r="C16" s="3"/>
      <c r="D16" s="3" t="s">
        <v>24</v>
      </c>
      <c r="E16" s="55">
        <f t="shared" si="0"/>
        <v>160</v>
      </c>
      <c r="F16" s="21">
        <v>12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2:17" x14ac:dyDescent="0.2">
      <c r="B17" s="1"/>
      <c r="C17" s="15">
        <v>2</v>
      </c>
      <c r="D17" s="15" t="s">
        <v>7</v>
      </c>
      <c r="E17" s="55">
        <f t="shared" si="0"/>
        <v>165</v>
      </c>
      <c r="F17" s="21">
        <v>13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2:17" x14ac:dyDescent="0.2">
      <c r="B18" s="1"/>
      <c r="C18" s="15"/>
      <c r="D18" s="15" t="s">
        <v>9</v>
      </c>
      <c r="E18" s="55">
        <f t="shared" si="0"/>
        <v>170</v>
      </c>
      <c r="F18" s="21">
        <v>14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2:17" x14ac:dyDescent="0.2">
      <c r="B19" s="1"/>
      <c r="C19" s="15"/>
      <c r="D19" s="15" t="s">
        <v>11</v>
      </c>
      <c r="E19" s="55">
        <f t="shared" si="0"/>
        <v>175</v>
      </c>
      <c r="F19" s="21">
        <v>15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2:17" x14ac:dyDescent="0.2">
      <c r="B20" s="1"/>
      <c r="C20" s="15"/>
      <c r="D20" s="15" t="s">
        <v>13</v>
      </c>
      <c r="E20" s="55">
        <f t="shared" si="0"/>
        <v>180</v>
      </c>
      <c r="F20" s="21">
        <v>16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2:17" x14ac:dyDescent="0.2">
      <c r="B21" s="1"/>
      <c r="C21" s="15"/>
      <c r="D21" s="15" t="s">
        <v>16</v>
      </c>
      <c r="E21" s="55">
        <f t="shared" si="0"/>
        <v>185</v>
      </c>
      <c r="F21" s="21">
        <v>17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2:17" x14ac:dyDescent="0.2">
      <c r="B22" s="1"/>
      <c r="C22" s="15"/>
      <c r="D22" s="15" t="s">
        <v>17</v>
      </c>
      <c r="E22" s="55">
        <f t="shared" si="0"/>
        <v>190</v>
      </c>
      <c r="F22" s="21">
        <v>18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2:17" x14ac:dyDescent="0.2">
      <c r="B23" s="1"/>
      <c r="C23" s="15"/>
      <c r="D23" s="15" t="s">
        <v>19</v>
      </c>
      <c r="E23" s="55">
        <f t="shared" si="0"/>
        <v>195</v>
      </c>
      <c r="F23" s="21">
        <v>19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2:17" x14ac:dyDescent="0.2">
      <c r="B24" s="1"/>
      <c r="C24" s="15"/>
      <c r="D24" s="15" t="s">
        <v>20</v>
      </c>
      <c r="E24" s="55">
        <f t="shared" si="0"/>
        <v>200</v>
      </c>
      <c r="F24" s="21">
        <v>20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2:17" x14ac:dyDescent="0.2">
      <c r="B25" s="1"/>
      <c r="C25" s="15"/>
      <c r="D25" s="15" t="s">
        <v>21</v>
      </c>
      <c r="E25" s="55">
        <f t="shared" si="0"/>
        <v>205</v>
      </c>
      <c r="F25" s="21">
        <v>21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2:17" x14ac:dyDescent="0.2">
      <c r="B26" s="1"/>
      <c r="C26" s="15"/>
      <c r="D26" s="15" t="s">
        <v>22</v>
      </c>
      <c r="E26" s="55">
        <f t="shared" si="0"/>
        <v>210</v>
      </c>
      <c r="F26" s="21">
        <v>22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spans="2:17" x14ac:dyDescent="0.2">
      <c r="B27" s="1"/>
      <c r="C27" s="15"/>
      <c r="D27" s="15" t="s">
        <v>23</v>
      </c>
      <c r="E27" s="55">
        <f t="shared" si="0"/>
        <v>215</v>
      </c>
      <c r="F27" s="21">
        <v>23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spans="2:17" x14ac:dyDescent="0.2">
      <c r="B28" s="1"/>
      <c r="C28" s="15"/>
      <c r="D28" s="15" t="s">
        <v>24</v>
      </c>
      <c r="E28" s="55">
        <f t="shared" si="0"/>
        <v>220</v>
      </c>
      <c r="F28" s="21">
        <v>24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spans="2:17" x14ac:dyDescent="0.2">
      <c r="B29" s="1"/>
      <c r="C29" s="3">
        <v>3</v>
      </c>
      <c r="D29" s="3" t="s">
        <v>7</v>
      </c>
      <c r="E29" s="55">
        <f t="shared" si="0"/>
        <v>225</v>
      </c>
      <c r="F29" s="21">
        <v>25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spans="2:17" x14ac:dyDescent="0.2">
      <c r="B30" s="1"/>
      <c r="C30" s="3"/>
      <c r="D30" s="3" t="s">
        <v>9</v>
      </c>
      <c r="E30" s="55">
        <f t="shared" si="0"/>
        <v>230</v>
      </c>
      <c r="F30" s="21">
        <v>26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spans="2:17" x14ac:dyDescent="0.2">
      <c r="B31" s="1"/>
      <c r="C31" s="3"/>
      <c r="D31" s="3" t="s">
        <v>11</v>
      </c>
      <c r="E31" s="55">
        <f t="shared" si="0"/>
        <v>235</v>
      </c>
      <c r="F31" s="21">
        <v>27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spans="2:17" x14ac:dyDescent="0.2">
      <c r="B32" s="1"/>
      <c r="C32" s="3"/>
      <c r="D32" s="3" t="s">
        <v>13</v>
      </c>
      <c r="E32" s="55">
        <f t="shared" si="0"/>
        <v>240</v>
      </c>
      <c r="F32" s="21">
        <v>28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spans="2:17" x14ac:dyDescent="0.2">
      <c r="B33" s="1"/>
      <c r="C33" s="3"/>
      <c r="D33" s="3" t="s">
        <v>16</v>
      </c>
      <c r="E33" s="55">
        <f t="shared" si="0"/>
        <v>245</v>
      </c>
      <c r="F33" s="21">
        <v>29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spans="2:17" x14ac:dyDescent="0.2">
      <c r="B34" s="1"/>
      <c r="C34" s="3"/>
      <c r="D34" s="3" t="s">
        <v>17</v>
      </c>
      <c r="E34" s="55">
        <f t="shared" si="0"/>
        <v>250</v>
      </c>
      <c r="F34" s="21">
        <v>30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spans="2:17" x14ac:dyDescent="0.2">
      <c r="B35" s="1"/>
      <c r="C35" s="3"/>
      <c r="D35" s="3" t="s">
        <v>19</v>
      </c>
      <c r="E35" s="418">
        <f t="shared" si="0"/>
        <v>255</v>
      </c>
      <c r="F35" s="21">
        <v>31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spans="2:17" x14ac:dyDescent="0.2">
      <c r="B36" s="1"/>
      <c r="C36" s="13"/>
      <c r="D36" s="3" t="s">
        <v>20</v>
      </c>
      <c r="E36" s="55">
        <f t="shared" si="0"/>
        <v>260</v>
      </c>
      <c r="F36" s="21">
        <v>32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spans="2:17" x14ac:dyDescent="0.2">
      <c r="B37" s="1"/>
      <c r="C37" s="3"/>
      <c r="D37" s="3" t="s">
        <v>21</v>
      </c>
      <c r="E37" s="55">
        <f t="shared" si="0"/>
        <v>265</v>
      </c>
      <c r="F37" s="21">
        <v>33</v>
      </c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spans="2:17" x14ac:dyDescent="0.2">
      <c r="B38" s="1"/>
      <c r="C38" s="3"/>
      <c r="D38" s="3" t="s">
        <v>22</v>
      </c>
      <c r="E38" s="55">
        <f t="shared" si="0"/>
        <v>270</v>
      </c>
      <c r="F38" s="21">
        <v>34</v>
      </c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spans="2:17" x14ac:dyDescent="0.2">
      <c r="B39" s="1"/>
      <c r="C39" s="3"/>
      <c r="D39" s="3" t="s">
        <v>23</v>
      </c>
      <c r="E39" s="55">
        <f t="shared" si="0"/>
        <v>275</v>
      </c>
      <c r="F39" s="21">
        <v>35</v>
      </c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spans="2:17" x14ac:dyDescent="0.2">
      <c r="B40" s="1"/>
      <c r="C40" s="3"/>
      <c r="D40" s="3" t="s">
        <v>24</v>
      </c>
      <c r="E40" s="55">
        <f t="shared" si="0"/>
        <v>280</v>
      </c>
      <c r="F40" s="21">
        <v>36</v>
      </c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spans="2:17" x14ac:dyDescent="0.2">
      <c r="B41" s="1"/>
      <c r="C41" s="3"/>
      <c r="D41" s="3"/>
      <c r="E41" s="3"/>
      <c r="F41" s="3"/>
      <c r="G41" s="11"/>
      <c r="H41" s="12"/>
      <c r="I41" s="14"/>
      <c r="J41" s="17"/>
      <c r="K41" s="17"/>
      <c r="L41" s="17"/>
      <c r="M41" s="17"/>
      <c r="N41" s="17"/>
      <c r="O41" s="17"/>
      <c r="P41" s="17"/>
      <c r="Q41" s="17"/>
    </row>
  </sheetData>
  <pageMargins left="0.7" right="0.7" top="0.75" bottom="0.75" header="0.3" footer="0.3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F252-2C8A-4A8C-B609-BA0FC9131AA7}">
  <sheetPr codeName="Sheet7"/>
  <dimension ref="A1:O821"/>
  <sheetViews>
    <sheetView showGridLines="0" zoomScaleNormal="7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2" sqref="E22:F22"/>
    </sheetView>
  </sheetViews>
  <sheetFormatPr baseColWidth="10" defaultColWidth="13.1640625" defaultRowHeight="15" x14ac:dyDescent="0.2"/>
  <cols>
    <col min="1" max="1" width="3.6640625" style="348" customWidth="1"/>
    <col min="2" max="2" width="3.6640625" customWidth="1"/>
    <col min="3" max="3" width="26" customWidth="1"/>
    <col min="4" max="4" width="29.1640625" customWidth="1"/>
    <col min="5" max="5" width="9.33203125" customWidth="1"/>
    <col min="9" max="9" width="13.1640625" style="16"/>
    <col min="10" max="10" width="13.1640625" style="16" customWidth="1"/>
    <col min="11" max="11" width="14" style="16" customWidth="1"/>
    <col min="12" max="12" width="14.33203125" style="16" bestFit="1" customWidth="1"/>
    <col min="13" max="13" width="13.1640625" style="16"/>
    <col min="14" max="14" width="14.33203125" bestFit="1" customWidth="1"/>
  </cols>
  <sheetData>
    <row r="1" spans="3:15" s="348" customFormat="1" x14ac:dyDescent="0.2"/>
    <row r="2" spans="3:15" x14ac:dyDescent="0.2"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spans="3:15" x14ac:dyDescent="0.2">
      <c r="C3" s="18" t="s">
        <v>36</v>
      </c>
      <c r="D3" s="18" t="s">
        <v>37</v>
      </c>
      <c r="E3" s="18"/>
      <c r="F3" s="18"/>
      <c r="G3" s="17"/>
      <c r="H3" s="17"/>
      <c r="I3" s="18" t="s">
        <v>38</v>
      </c>
      <c r="J3" s="18" t="s">
        <v>39</v>
      </c>
      <c r="K3" s="18" t="s">
        <v>40</v>
      </c>
      <c r="L3" s="18" t="s">
        <v>40</v>
      </c>
      <c r="M3" s="18" t="s">
        <v>40</v>
      </c>
      <c r="N3" s="18" t="s">
        <v>40</v>
      </c>
      <c r="O3" s="17"/>
    </row>
    <row r="4" spans="3:15" x14ac:dyDescent="0.2">
      <c r="C4" s="18" t="s">
        <v>41</v>
      </c>
      <c r="D4" s="18" t="s">
        <v>42</v>
      </c>
      <c r="E4" s="18"/>
      <c r="F4" s="18"/>
      <c r="G4" s="18"/>
      <c r="H4" s="18"/>
      <c r="I4" s="18" t="s">
        <v>43</v>
      </c>
      <c r="J4" s="18" t="s">
        <v>44</v>
      </c>
      <c r="K4" s="18" t="s">
        <v>45</v>
      </c>
      <c r="L4" s="18" t="s">
        <v>46</v>
      </c>
      <c r="M4" s="18" t="s">
        <v>47</v>
      </c>
      <c r="N4" s="18" t="s">
        <v>48</v>
      </c>
      <c r="O4" s="17"/>
    </row>
    <row r="5" spans="3:15" x14ac:dyDescent="0.2">
      <c r="C5" s="363" t="s">
        <v>49</v>
      </c>
      <c r="D5" s="18">
        <v>5.5</v>
      </c>
      <c r="E5" s="18"/>
      <c r="F5" s="18"/>
      <c r="G5" s="364"/>
      <c r="H5" s="364"/>
      <c r="I5" s="92" t="s">
        <v>50</v>
      </c>
      <c r="J5" s="92" t="s">
        <v>51</v>
      </c>
      <c r="K5" s="92" t="s">
        <v>52</v>
      </c>
      <c r="L5" s="92" t="s">
        <v>52</v>
      </c>
      <c r="M5" s="92" t="s">
        <v>52</v>
      </c>
      <c r="N5" s="92" t="s">
        <v>52</v>
      </c>
      <c r="O5" s="17"/>
    </row>
    <row r="6" spans="3:15" x14ac:dyDescent="0.2">
      <c r="C6" s="363" t="s">
        <v>53</v>
      </c>
      <c r="D6" s="18">
        <v>5</v>
      </c>
      <c r="E6" s="18"/>
      <c r="F6" s="365"/>
      <c r="G6" s="366"/>
      <c r="H6" s="366"/>
      <c r="I6" s="18">
        <v>1</v>
      </c>
      <c r="J6" s="361"/>
      <c r="K6" s="30"/>
      <c r="L6" s="30"/>
      <c r="M6" s="30"/>
      <c r="N6" s="30"/>
      <c r="O6" s="17"/>
    </row>
    <row r="7" spans="3:15" x14ac:dyDescent="0.2">
      <c r="C7" s="363" t="s">
        <v>54</v>
      </c>
      <c r="D7" s="18">
        <v>4.7</v>
      </c>
      <c r="E7" s="18"/>
      <c r="F7" s="365"/>
      <c r="G7" s="366"/>
      <c r="H7" s="366"/>
      <c r="I7" s="18">
        <v>2</v>
      </c>
      <c r="J7" s="361"/>
      <c r="K7" s="30"/>
      <c r="L7" s="30"/>
      <c r="M7" s="30"/>
      <c r="N7" s="30"/>
      <c r="O7" s="17"/>
    </row>
    <row r="8" spans="3:15" x14ac:dyDescent="0.2">
      <c r="C8" s="18" t="s">
        <v>55</v>
      </c>
      <c r="D8" s="18">
        <v>4.5</v>
      </c>
      <c r="E8" s="18"/>
      <c r="F8" s="365"/>
      <c r="G8" s="366"/>
      <c r="H8" s="366"/>
      <c r="I8" s="18">
        <v>3</v>
      </c>
      <c r="J8" s="361"/>
      <c r="K8" s="30"/>
      <c r="L8" s="30"/>
      <c r="M8" s="30"/>
      <c r="N8" s="30"/>
      <c r="O8" s="17"/>
    </row>
    <row r="9" spans="3:15" x14ac:dyDescent="0.2">
      <c r="C9" s="17"/>
      <c r="D9" s="17"/>
      <c r="E9" s="17"/>
      <c r="F9" s="17"/>
      <c r="G9" s="17"/>
      <c r="H9" s="17"/>
      <c r="I9" s="18">
        <v>4</v>
      </c>
      <c r="J9" s="361"/>
      <c r="K9" s="30"/>
      <c r="L9" s="30"/>
      <c r="M9" s="30"/>
      <c r="N9" s="30"/>
      <c r="O9" s="17"/>
    </row>
    <row r="10" spans="3:15" x14ac:dyDescent="0.2">
      <c r="C10" s="17" t="s">
        <v>56</v>
      </c>
      <c r="D10" s="17"/>
      <c r="E10" s="17">
        <v>200</v>
      </c>
      <c r="F10" s="17" t="s">
        <v>52</v>
      </c>
      <c r="G10" s="17"/>
      <c r="H10" s="17"/>
      <c r="I10" s="18">
        <v>5</v>
      </c>
      <c r="J10" s="361"/>
      <c r="K10" s="30"/>
      <c r="L10" s="30"/>
      <c r="M10" s="30"/>
      <c r="N10" s="30"/>
      <c r="O10" s="17"/>
    </row>
    <row r="11" spans="3:15" x14ac:dyDescent="0.2">
      <c r="C11" s="17" t="s">
        <v>57</v>
      </c>
      <c r="D11" s="17"/>
      <c r="E11" s="17">
        <v>5</v>
      </c>
      <c r="F11" s="17" t="s">
        <v>58</v>
      </c>
      <c r="G11" s="17"/>
      <c r="H11" s="17"/>
      <c r="I11" s="18">
        <v>6</v>
      </c>
      <c r="J11" s="361"/>
      <c r="K11" s="30"/>
      <c r="L11" s="30"/>
      <c r="M11" s="30"/>
      <c r="N11" s="30"/>
      <c r="O11" s="17"/>
    </row>
    <row r="12" spans="3:15" x14ac:dyDescent="0.2">
      <c r="C12" s="17" t="s">
        <v>59</v>
      </c>
      <c r="D12" s="17"/>
      <c r="E12" s="367">
        <v>20</v>
      </c>
      <c r="F12" s="17" t="s">
        <v>60</v>
      </c>
      <c r="G12" s="17"/>
      <c r="H12" s="17"/>
      <c r="I12" s="18">
        <v>7</v>
      </c>
      <c r="J12" s="361"/>
      <c r="K12" s="30"/>
      <c r="L12" s="30"/>
      <c r="M12" s="30"/>
      <c r="N12" s="30"/>
      <c r="O12" s="17"/>
    </row>
    <row r="13" spans="3:15" x14ac:dyDescent="0.2">
      <c r="C13" s="17"/>
      <c r="D13" s="17"/>
      <c r="E13" s="17"/>
      <c r="F13" s="17"/>
      <c r="G13" s="17"/>
      <c r="H13" s="17"/>
      <c r="I13" s="18">
        <v>8</v>
      </c>
      <c r="J13" s="361"/>
      <c r="K13" s="30"/>
      <c r="L13" s="30"/>
      <c r="M13" s="30"/>
      <c r="N13" s="30"/>
      <c r="O13" s="17"/>
    </row>
    <row r="14" spans="3:15" x14ac:dyDescent="0.2">
      <c r="C14" s="17" t="s">
        <v>61</v>
      </c>
      <c r="D14" s="17"/>
      <c r="E14" s="61"/>
      <c r="F14" s="17"/>
      <c r="G14" s="17"/>
      <c r="H14" s="17"/>
      <c r="I14" s="18">
        <v>9</v>
      </c>
      <c r="J14" s="361"/>
      <c r="K14" s="30"/>
      <c r="L14" s="30"/>
      <c r="M14" s="30"/>
      <c r="N14" s="30"/>
      <c r="O14" s="17"/>
    </row>
    <row r="15" spans="3:15" x14ac:dyDescent="0.2">
      <c r="C15" s="17"/>
      <c r="D15" s="17"/>
      <c r="E15" s="17"/>
      <c r="F15" s="17"/>
      <c r="G15" s="17"/>
      <c r="H15" s="17"/>
      <c r="I15" s="18">
        <v>10</v>
      </c>
      <c r="J15" s="361"/>
      <c r="K15" s="30"/>
      <c r="L15" s="30"/>
      <c r="M15" s="30"/>
      <c r="N15" s="30"/>
      <c r="O15" s="17"/>
    </row>
    <row r="16" spans="3:15" x14ac:dyDescent="0.2">
      <c r="C16" s="1"/>
      <c r="D16" s="1"/>
      <c r="E16" s="17">
        <f>SQRT(E10*2*E11/E12)</f>
        <v>10</v>
      </c>
      <c r="F16" s="1"/>
      <c r="G16" s="17"/>
      <c r="H16" s="17"/>
      <c r="I16" s="18">
        <v>11</v>
      </c>
      <c r="J16" s="361"/>
      <c r="K16" s="30"/>
      <c r="L16" s="30"/>
      <c r="M16" s="30"/>
      <c r="N16" s="30"/>
      <c r="O16" s="17"/>
    </row>
    <row r="17" spans="3:15" x14ac:dyDescent="0.2">
      <c r="C17" s="17"/>
      <c r="D17" s="17"/>
      <c r="E17" s="17"/>
      <c r="F17" s="17"/>
      <c r="G17" s="17"/>
      <c r="H17" s="17"/>
      <c r="I17" s="18">
        <v>12</v>
      </c>
      <c r="J17" s="361"/>
      <c r="K17" s="30"/>
      <c r="L17" s="30"/>
      <c r="M17" s="30"/>
      <c r="N17" s="30"/>
      <c r="O17" s="17"/>
    </row>
    <row r="18" spans="3:15" x14ac:dyDescent="0.2">
      <c r="C18" s="17"/>
      <c r="D18" s="17"/>
      <c r="E18" s="157"/>
      <c r="F18" s="17"/>
      <c r="G18" s="17"/>
      <c r="H18" s="17"/>
      <c r="I18" s="18">
        <v>13</v>
      </c>
      <c r="J18" s="361"/>
      <c r="K18" s="30"/>
      <c r="L18" s="30"/>
      <c r="M18" s="30"/>
      <c r="N18" s="30"/>
      <c r="O18" s="17"/>
    </row>
    <row r="19" spans="3:15" x14ac:dyDescent="0.2">
      <c r="C19" s="17"/>
      <c r="D19" s="17"/>
      <c r="E19" s="362"/>
      <c r="F19" s="17"/>
      <c r="G19" s="17"/>
      <c r="H19" s="17"/>
      <c r="I19" s="18">
        <v>14</v>
      </c>
      <c r="J19" s="361"/>
      <c r="K19" s="30"/>
      <c r="L19" s="30"/>
      <c r="M19" s="30"/>
      <c r="N19" s="30"/>
      <c r="O19" s="17"/>
    </row>
    <row r="20" spans="3:15" x14ac:dyDescent="0.2">
      <c r="C20" s="17"/>
      <c r="D20" s="17"/>
      <c r="E20" s="17"/>
      <c r="F20" s="17"/>
      <c r="G20" s="17"/>
      <c r="H20" s="17"/>
      <c r="I20" s="18">
        <v>15</v>
      </c>
      <c r="J20" s="361"/>
      <c r="K20" s="30"/>
      <c r="L20" s="30"/>
      <c r="M20" s="30"/>
      <c r="N20" s="30"/>
      <c r="O20" s="17"/>
    </row>
    <row r="21" spans="3:15" x14ac:dyDescent="0.2">
      <c r="C21" s="17"/>
      <c r="D21" s="17"/>
      <c r="E21" s="17"/>
      <c r="F21" s="17"/>
      <c r="G21" s="17"/>
      <c r="H21" s="17"/>
      <c r="I21" s="18">
        <v>16</v>
      </c>
      <c r="J21" s="361"/>
      <c r="K21" s="30"/>
      <c r="L21" s="30"/>
      <c r="M21" s="30"/>
      <c r="N21" s="30"/>
      <c r="O21" s="17"/>
    </row>
    <row r="22" spans="3:15" x14ac:dyDescent="0.2">
      <c r="C22" s="17"/>
      <c r="D22" s="17"/>
      <c r="E22" s="419">
        <v>10</v>
      </c>
      <c r="F22" s="420">
        <f>E22/2*$E$12+$E$10/E22*$E$11+200*D7</f>
        <v>1140</v>
      </c>
      <c r="G22" s="17"/>
      <c r="H22" s="17"/>
      <c r="I22" s="18">
        <v>17</v>
      </c>
      <c r="J22" s="361"/>
      <c r="K22" s="30"/>
      <c r="L22" s="30"/>
      <c r="M22" s="30"/>
      <c r="N22" s="30"/>
      <c r="O22" s="17"/>
    </row>
    <row r="23" spans="3:15" x14ac:dyDescent="0.2">
      <c r="C23" s="17"/>
      <c r="D23" s="17"/>
      <c r="E23" s="17">
        <v>20</v>
      </c>
      <c r="F23" s="416">
        <f>E23/2*$E$12+$E$10/E23*$E$11+200*D8</f>
        <v>1150</v>
      </c>
      <c r="G23" s="17"/>
      <c r="H23" s="17"/>
      <c r="I23" s="18">
        <v>18</v>
      </c>
      <c r="J23" s="361"/>
      <c r="K23" s="30"/>
      <c r="L23" s="30"/>
      <c r="M23" s="30"/>
      <c r="N23" s="30"/>
      <c r="O23" s="17"/>
    </row>
    <row r="24" spans="3:15" x14ac:dyDescent="0.2">
      <c r="C24" s="17"/>
      <c r="D24" s="17"/>
      <c r="E24" s="17"/>
      <c r="F24" s="17"/>
      <c r="G24" s="17"/>
      <c r="H24" s="17"/>
      <c r="I24" s="18">
        <v>19</v>
      </c>
      <c r="J24" s="361"/>
      <c r="K24" s="30"/>
      <c r="L24" s="30"/>
      <c r="M24" s="30"/>
      <c r="N24" s="225"/>
      <c r="O24" s="17"/>
    </row>
    <row r="25" spans="3:15" x14ac:dyDescent="0.2">
      <c r="C25" s="17"/>
      <c r="D25" s="17"/>
      <c r="E25" s="17"/>
      <c r="F25" s="17"/>
      <c r="G25" s="17"/>
      <c r="H25" s="17"/>
      <c r="I25" s="18">
        <v>20</v>
      </c>
      <c r="J25" s="361"/>
      <c r="K25" s="30"/>
      <c r="L25" s="30"/>
      <c r="M25" s="30"/>
      <c r="N25" s="30"/>
      <c r="O25" s="17"/>
    </row>
    <row r="26" spans="3:15" x14ac:dyDescent="0.2">
      <c r="C26" s="17"/>
      <c r="D26" s="17"/>
      <c r="E26" s="17"/>
      <c r="F26" s="17"/>
      <c r="G26" s="17"/>
      <c r="H26" s="17"/>
      <c r="I26" s="18">
        <v>21</v>
      </c>
      <c r="J26" s="361"/>
      <c r="K26" s="30"/>
      <c r="L26" s="30"/>
      <c r="M26" s="30"/>
      <c r="N26" s="30"/>
      <c r="O26" s="17"/>
    </row>
    <row r="27" spans="3:15" x14ac:dyDescent="0.2">
      <c r="C27" s="17"/>
      <c r="D27" s="17"/>
      <c r="E27" s="17"/>
      <c r="F27" s="17"/>
      <c r="G27" s="17"/>
      <c r="H27" s="17"/>
      <c r="I27" s="18">
        <v>22</v>
      </c>
      <c r="J27" s="361"/>
      <c r="K27" s="30"/>
      <c r="L27" s="30"/>
      <c r="M27" s="30"/>
      <c r="N27" s="30"/>
      <c r="O27" s="17"/>
    </row>
    <row r="28" spans="3:15" x14ac:dyDescent="0.2">
      <c r="C28" s="17"/>
      <c r="D28" s="17"/>
      <c r="E28" s="17"/>
      <c r="F28" s="17"/>
      <c r="G28" s="17"/>
      <c r="H28" s="17"/>
      <c r="I28" s="18">
        <v>23</v>
      </c>
      <c r="J28" s="361"/>
      <c r="K28" s="30"/>
      <c r="L28" s="30"/>
      <c r="M28" s="30"/>
      <c r="N28" s="30"/>
      <c r="O28" s="17"/>
    </row>
    <row r="29" spans="3:15" x14ac:dyDescent="0.2">
      <c r="C29" s="17"/>
      <c r="D29" s="17"/>
      <c r="E29" s="17"/>
      <c r="F29" s="17"/>
      <c r="G29" s="17"/>
      <c r="H29" s="17"/>
      <c r="I29" s="18">
        <v>24</v>
      </c>
      <c r="J29" s="361"/>
      <c r="K29" s="30"/>
      <c r="L29" s="30"/>
      <c r="M29" s="30"/>
      <c r="N29" s="30"/>
      <c r="O29" s="17"/>
    </row>
    <row r="30" spans="3:15" x14ac:dyDescent="0.2">
      <c r="C30" s="17"/>
      <c r="D30" s="17"/>
      <c r="E30" s="17"/>
      <c r="F30" s="17"/>
      <c r="G30" s="17"/>
      <c r="H30" s="17"/>
      <c r="I30" s="18">
        <v>25</v>
      </c>
      <c r="J30" s="361"/>
      <c r="K30" s="30"/>
      <c r="L30" s="30"/>
      <c r="M30" s="30"/>
      <c r="N30" s="30"/>
      <c r="O30" s="17"/>
    </row>
    <row r="31" spans="3:15" x14ac:dyDescent="0.2">
      <c r="C31" s="17"/>
      <c r="D31" s="17"/>
      <c r="E31" s="17"/>
      <c r="F31" s="17"/>
      <c r="G31" s="17"/>
      <c r="H31" s="17"/>
      <c r="I31" s="18">
        <v>26</v>
      </c>
      <c r="J31" s="361"/>
      <c r="K31" s="30"/>
      <c r="L31" s="30"/>
      <c r="M31" s="30"/>
      <c r="N31" s="30"/>
      <c r="O31" s="17"/>
    </row>
    <row r="32" spans="3:15" x14ac:dyDescent="0.2">
      <c r="C32" s="17"/>
      <c r="D32" s="17"/>
      <c r="E32" s="17"/>
      <c r="F32" s="17"/>
      <c r="G32" s="17"/>
      <c r="H32" s="17"/>
      <c r="I32" s="18">
        <v>27</v>
      </c>
      <c r="J32" s="361"/>
      <c r="K32" s="30"/>
      <c r="L32" s="30"/>
      <c r="M32" s="30"/>
      <c r="N32" s="30"/>
      <c r="O32" s="17"/>
    </row>
    <row r="33" spans="3:15" x14ac:dyDescent="0.2">
      <c r="C33" s="17"/>
      <c r="D33" s="17"/>
      <c r="E33" s="17"/>
      <c r="F33" s="17"/>
      <c r="G33" s="17"/>
      <c r="H33" s="17"/>
      <c r="I33" s="18">
        <v>28</v>
      </c>
      <c r="J33" s="361"/>
      <c r="K33" s="30"/>
      <c r="L33" s="30"/>
      <c r="M33" s="30"/>
      <c r="N33" s="30"/>
      <c r="O33" s="17"/>
    </row>
    <row r="34" spans="3:15" x14ac:dyDescent="0.2">
      <c r="C34" s="17"/>
      <c r="D34" s="17"/>
      <c r="E34" s="17"/>
      <c r="F34" s="17"/>
      <c r="G34" s="17"/>
      <c r="H34" s="17"/>
      <c r="I34" s="18">
        <v>29</v>
      </c>
      <c r="J34" s="361"/>
      <c r="K34" s="30"/>
      <c r="L34" s="30"/>
      <c r="M34" s="30"/>
      <c r="N34" s="30"/>
      <c r="O34" s="17"/>
    </row>
    <row r="35" spans="3:15" x14ac:dyDescent="0.2">
      <c r="C35" s="17"/>
      <c r="D35" s="17"/>
      <c r="E35" s="17"/>
      <c r="F35" s="17"/>
      <c r="G35" s="17"/>
      <c r="H35" s="17"/>
      <c r="I35" s="18">
        <v>30</v>
      </c>
      <c r="J35" s="361"/>
      <c r="K35" s="30"/>
      <c r="L35" s="30"/>
      <c r="M35" s="30"/>
      <c r="N35" s="30"/>
      <c r="O35" s="17"/>
    </row>
    <row r="36" spans="3:15" x14ac:dyDescent="0.2">
      <c r="C36" s="17"/>
      <c r="D36" s="17"/>
      <c r="E36" s="17"/>
      <c r="F36" s="17"/>
      <c r="G36" s="17"/>
      <c r="H36" s="17"/>
      <c r="I36" s="18"/>
      <c r="J36" s="361"/>
      <c r="K36" s="30"/>
      <c r="L36" s="30"/>
      <c r="M36" s="30"/>
      <c r="N36" s="30"/>
      <c r="O36" s="17"/>
    </row>
    <row r="37" spans="3:15" x14ac:dyDescent="0.2">
      <c r="C37" s="17"/>
      <c r="D37" s="17"/>
      <c r="E37" s="17"/>
      <c r="F37" s="17"/>
      <c r="G37" s="17"/>
      <c r="H37" s="17"/>
      <c r="I37" s="18"/>
      <c r="J37" s="361"/>
      <c r="K37" s="30"/>
      <c r="L37" s="30"/>
      <c r="M37" s="30"/>
      <c r="N37" s="30"/>
      <c r="O37" s="17"/>
    </row>
    <row r="38" spans="3:15" x14ac:dyDescent="0.2">
      <c r="J38" s="206"/>
      <c r="K38" s="28"/>
      <c r="L38" s="28"/>
      <c r="M38" s="28"/>
      <c r="N38" s="28"/>
    </row>
    <row r="39" spans="3:15" x14ac:dyDescent="0.2">
      <c r="J39" s="206"/>
      <c r="K39" s="28"/>
      <c r="L39" s="28"/>
      <c r="M39" s="28"/>
      <c r="N39" s="28"/>
    </row>
    <row r="40" spans="3:15" x14ac:dyDescent="0.2">
      <c r="J40" s="206"/>
      <c r="K40" s="28"/>
      <c r="L40" s="28"/>
      <c r="M40" s="28"/>
      <c r="N40" s="28"/>
    </row>
    <row r="41" spans="3:15" x14ac:dyDescent="0.2">
      <c r="J41" s="206"/>
      <c r="K41" s="28"/>
      <c r="L41" s="28"/>
      <c r="M41" s="28"/>
      <c r="N41" s="28"/>
    </row>
    <row r="42" spans="3:15" x14ac:dyDescent="0.2">
      <c r="J42" s="206"/>
      <c r="K42" s="28"/>
      <c r="L42" s="28"/>
      <c r="M42" s="28"/>
      <c r="N42" s="28"/>
    </row>
    <row r="43" spans="3:15" x14ac:dyDescent="0.2">
      <c r="J43" s="206"/>
      <c r="K43" s="28"/>
      <c r="L43" s="28"/>
      <c r="M43" s="28"/>
      <c r="N43" s="28"/>
    </row>
    <row r="44" spans="3:15" x14ac:dyDescent="0.2">
      <c r="J44" s="206"/>
      <c r="K44" s="28"/>
      <c r="L44" s="28"/>
      <c r="M44" s="28"/>
      <c r="N44" s="28"/>
    </row>
    <row r="45" spans="3:15" x14ac:dyDescent="0.2">
      <c r="J45" s="206"/>
      <c r="K45" s="28"/>
      <c r="L45" s="28"/>
      <c r="M45" s="28"/>
      <c r="N45" s="28"/>
    </row>
    <row r="46" spans="3:15" x14ac:dyDescent="0.2">
      <c r="J46" s="206"/>
      <c r="K46" s="28"/>
      <c r="L46" s="28"/>
      <c r="M46" s="28"/>
      <c r="N46" s="28"/>
    </row>
    <row r="47" spans="3:15" x14ac:dyDescent="0.2">
      <c r="J47" s="206"/>
      <c r="K47" s="28"/>
      <c r="L47" s="28"/>
      <c r="M47" s="28"/>
      <c r="N47" s="28"/>
    </row>
    <row r="48" spans="3:15" x14ac:dyDescent="0.2">
      <c r="J48" s="206"/>
      <c r="K48" s="28"/>
      <c r="L48" s="28"/>
      <c r="M48" s="28"/>
      <c r="N48" s="28"/>
    </row>
    <row r="49" spans="9:14" x14ac:dyDescent="0.2">
      <c r="J49" s="206"/>
      <c r="K49" s="28"/>
      <c r="L49" s="28"/>
      <c r="M49" s="28"/>
      <c r="N49" s="28"/>
    </row>
    <row r="50" spans="9:14" x14ac:dyDescent="0.2">
      <c r="J50" s="206"/>
      <c r="K50" s="28"/>
      <c r="L50" s="28"/>
      <c r="M50" s="28"/>
      <c r="N50" s="28"/>
    </row>
    <row r="51" spans="9:14" x14ac:dyDescent="0.2">
      <c r="J51" s="206"/>
      <c r="K51" s="28"/>
      <c r="L51" s="28"/>
      <c r="M51" s="28"/>
      <c r="N51" s="28"/>
    </row>
    <row r="52" spans="9:14" x14ac:dyDescent="0.2">
      <c r="J52" s="206"/>
      <c r="K52" s="28"/>
      <c r="L52" s="28"/>
      <c r="M52" s="28"/>
      <c r="N52" s="28"/>
    </row>
    <row r="53" spans="9:14" x14ac:dyDescent="0.2">
      <c r="J53" s="206"/>
      <c r="K53" s="28"/>
      <c r="L53" s="28"/>
      <c r="M53" s="28"/>
      <c r="N53" s="28"/>
    </row>
    <row r="54" spans="9:14" x14ac:dyDescent="0.2">
      <c r="J54" s="206"/>
      <c r="K54" s="28"/>
      <c r="L54" s="28"/>
      <c r="M54" s="28"/>
      <c r="N54" s="28"/>
    </row>
    <row r="55" spans="9:14" x14ac:dyDescent="0.2">
      <c r="J55" s="206"/>
      <c r="K55" s="28"/>
      <c r="M55" s="28"/>
      <c r="N55" s="28"/>
    </row>
    <row r="56" spans="9:14" x14ac:dyDescent="0.2">
      <c r="J56" s="206"/>
      <c r="K56" s="28"/>
      <c r="L56" s="28"/>
      <c r="M56" s="28"/>
      <c r="N56" s="28"/>
    </row>
    <row r="57" spans="9:14" x14ac:dyDescent="0.2">
      <c r="J57" s="206"/>
      <c r="K57" s="28"/>
      <c r="L57" s="28"/>
      <c r="M57" s="28"/>
      <c r="N57" s="28"/>
    </row>
    <row r="58" spans="9:14" x14ac:dyDescent="0.2">
      <c r="J58" s="206"/>
      <c r="K58" s="28"/>
      <c r="L58" s="28"/>
      <c r="M58" s="28"/>
      <c r="N58" s="28"/>
    </row>
    <row r="59" spans="9:14" ht="16" x14ac:dyDescent="0.2">
      <c r="I59" s="178"/>
      <c r="J59" s="192"/>
      <c r="K59" s="207"/>
      <c r="L59" s="207"/>
      <c r="M59" s="207"/>
      <c r="N59" s="207"/>
    </row>
    <row r="60" spans="9:14" x14ac:dyDescent="0.2">
      <c r="J60" s="206"/>
      <c r="K60" s="28"/>
      <c r="L60" s="28"/>
      <c r="M60" s="28"/>
      <c r="N60" s="28"/>
    </row>
    <row r="61" spans="9:14" x14ac:dyDescent="0.2">
      <c r="J61" s="206"/>
      <c r="K61" s="28"/>
      <c r="L61" s="28"/>
      <c r="M61" s="28"/>
      <c r="N61" s="28"/>
    </row>
    <row r="62" spans="9:14" x14ac:dyDescent="0.2">
      <c r="J62" s="206"/>
      <c r="K62" s="28"/>
      <c r="L62" s="28"/>
      <c r="M62" s="28"/>
      <c r="N62" s="28"/>
    </row>
    <row r="63" spans="9:14" x14ac:dyDescent="0.2">
      <c r="J63" s="206"/>
      <c r="K63" s="28"/>
      <c r="L63" s="28"/>
      <c r="M63" s="28"/>
      <c r="N63" s="28"/>
    </row>
    <row r="64" spans="9:14" x14ac:dyDescent="0.2">
      <c r="I64" s="6"/>
      <c r="J64" s="8"/>
      <c r="K64" s="208"/>
      <c r="L64" s="208"/>
      <c r="M64" s="208"/>
      <c r="N64" s="208"/>
    </row>
    <row r="65" spans="9:14" x14ac:dyDescent="0.2">
      <c r="J65" s="206"/>
      <c r="K65" s="28"/>
      <c r="L65" s="28"/>
      <c r="M65" s="28"/>
      <c r="N65" s="28"/>
    </row>
    <row r="66" spans="9:14" x14ac:dyDescent="0.2">
      <c r="J66" s="206"/>
      <c r="K66" s="28"/>
      <c r="L66" s="28"/>
      <c r="M66" s="28"/>
      <c r="N66" s="28"/>
    </row>
    <row r="67" spans="9:14" x14ac:dyDescent="0.2">
      <c r="J67" s="206"/>
      <c r="K67" s="28"/>
      <c r="L67" s="28"/>
      <c r="M67" s="28"/>
      <c r="N67" s="28"/>
    </row>
    <row r="68" spans="9:14" x14ac:dyDescent="0.2">
      <c r="J68" s="206"/>
      <c r="K68" s="28"/>
      <c r="L68" s="28"/>
      <c r="M68" s="28"/>
      <c r="N68" s="28"/>
    </row>
    <row r="69" spans="9:14" x14ac:dyDescent="0.2">
      <c r="J69" s="206"/>
      <c r="K69" s="28"/>
      <c r="L69" s="28"/>
      <c r="M69" s="28"/>
      <c r="N69" s="28"/>
    </row>
    <row r="70" spans="9:14" x14ac:dyDescent="0.2">
      <c r="J70" s="206"/>
      <c r="K70" s="28"/>
      <c r="L70" s="28"/>
      <c r="M70" s="28"/>
      <c r="N70" s="28"/>
    </row>
    <row r="71" spans="9:14" x14ac:dyDescent="0.2">
      <c r="J71" s="206"/>
      <c r="K71" s="28"/>
      <c r="L71" s="28"/>
      <c r="M71" s="28"/>
      <c r="N71" s="28"/>
    </row>
    <row r="72" spans="9:14" x14ac:dyDescent="0.2">
      <c r="J72" s="206"/>
      <c r="K72" s="28"/>
      <c r="L72" s="28"/>
      <c r="M72" s="28"/>
      <c r="N72" s="28"/>
    </row>
    <row r="73" spans="9:14" x14ac:dyDescent="0.2">
      <c r="J73" s="206"/>
      <c r="K73" s="28"/>
      <c r="L73" s="28"/>
      <c r="M73" s="28"/>
      <c r="N73" s="28"/>
    </row>
    <row r="74" spans="9:14" x14ac:dyDescent="0.2">
      <c r="J74" s="206"/>
      <c r="K74" s="28"/>
      <c r="L74" s="28"/>
      <c r="M74" s="28"/>
      <c r="N74" s="28"/>
    </row>
    <row r="75" spans="9:14" ht="16" x14ac:dyDescent="0.2">
      <c r="I75" s="209"/>
      <c r="J75" s="210"/>
      <c r="K75" s="211"/>
      <c r="L75" s="211"/>
      <c r="M75" s="212"/>
      <c r="N75" s="212"/>
    </row>
    <row r="76" spans="9:14" x14ac:dyDescent="0.2">
      <c r="I76" s="6"/>
      <c r="J76" s="8"/>
      <c r="K76" s="208"/>
      <c r="L76" s="208"/>
      <c r="M76" s="208"/>
      <c r="N76" s="208"/>
    </row>
    <row r="77" spans="9:14" x14ac:dyDescent="0.2">
      <c r="J77" s="206"/>
      <c r="K77" s="28"/>
      <c r="L77" s="28"/>
      <c r="M77" s="28"/>
      <c r="N77" s="28"/>
    </row>
    <row r="78" spans="9:14" x14ac:dyDescent="0.2">
      <c r="J78" s="206"/>
      <c r="K78" s="28"/>
      <c r="L78" s="28"/>
      <c r="M78" s="28"/>
      <c r="N78" s="28"/>
    </row>
    <row r="79" spans="9:14" x14ac:dyDescent="0.2">
      <c r="J79" s="206"/>
      <c r="K79" s="28"/>
      <c r="L79" s="28"/>
      <c r="M79" s="28"/>
      <c r="N79" s="28"/>
    </row>
    <row r="80" spans="9:14" x14ac:dyDescent="0.2">
      <c r="J80" s="206"/>
      <c r="K80" s="28"/>
      <c r="L80" s="28"/>
      <c r="M80" s="28"/>
      <c r="N80" s="28"/>
    </row>
    <row r="81" spans="9:14" x14ac:dyDescent="0.2">
      <c r="J81" s="206"/>
      <c r="K81" s="28"/>
      <c r="L81" s="28"/>
      <c r="M81" s="28"/>
      <c r="N81" s="28"/>
    </row>
    <row r="82" spans="9:14" x14ac:dyDescent="0.2">
      <c r="J82" s="206"/>
      <c r="K82" s="28"/>
      <c r="L82" s="28"/>
      <c r="M82" s="28"/>
      <c r="N82" s="28"/>
    </row>
    <row r="83" spans="9:14" x14ac:dyDescent="0.2">
      <c r="J83" s="206"/>
      <c r="K83" s="28"/>
      <c r="L83" s="28"/>
      <c r="M83" s="28"/>
      <c r="N83" s="28"/>
    </row>
    <row r="84" spans="9:14" x14ac:dyDescent="0.2">
      <c r="J84" s="206"/>
      <c r="K84" s="28"/>
      <c r="L84" s="28"/>
      <c r="M84" s="28"/>
      <c r="N84" s="28"/>
    </row>
    <row r="85" spans="9:14" x14ac:dyDescent="0.2">
      <c r="J85" s="206"/>
      <c r="K85" s="28"/>
      <c r="L85" s="28"/>
      <c r="M85" s="28"/>
      <c r="N85" s="28"/>
    </row>
    <row r="86" spans="9:14" x14ac:dyDescent="0.2">
      <c r="J86" s="206"/>
      <c r="K86" s="28"/>
      <c r="L86" s="28"/>
      <c r="M86" s="28"/>
      <c r="N86" s="28"/>
    </row>
    <row r="87" spans="9:14" x14ac:dyDescent="0.2">
      <c r="J87" s="206"/>
      <c r="K87" s="28"/>
      <c r="L87" s="28"/>
      <c r="M87" s="28"/>
      <c r="N87" s="28"/>
    </row>
    <row r="88" spans="9:14" x14ac:dyDescent="0.2">
      <c r="J88" s="206"/>
      <c r="K88" s="28"/>
      <c r="L88" s="28"/>
      <c r="M88" s="28"/>
      <c r="N88" s="28"/>
    </row>
    <row r="89" spans="9:14" x14ac:dyDescent="0.2">
      <c r="I89" s="213"/>
      <c r="J89" s="214"/>
      <c r="K89" s="215"/>
      <c r="L89" s="215"/>
      <c r="M89" s="215"/>
      <c r="N89" s="28"/>
    </row>
    <row r="90" spans="9:14" x14ac:dyDescent="0.2">
      <c r="J90" s="206"/>
      <c r="K90" s="28"/>
      <c r="L90" s="28"/>
      <c r="M90" s="28"/>
      <c r="N90" s="28"/>
    </row>
    <row r="91" spans="9:14" x14ac:dyDescent="0.2">
      <c r="J91" s="206"/>
      <c r="K91" s="28"/>
      <c r="L91" s="28"/>
      <c r="M91" s="28"/>
      <c r="N91" s="28"/>
    </row>
    <row r="92" spans="9:14" x14ac:dyDescent="0.2">
      <c r="J92" s="206"/>
      <c r="K92" s="28"/>
      <c r="L92" s="28"/>
      <c r="M92" s="28"/>
      <c r="N92" s="28"/>
    </row>
    <row r="93" spans="9:14" x14ac:dyDescent="0.2">
      <c r="J93" s="206"/>
      <c r="K93" s="28"/>
      <c r="L93" s="28"/>
      <c r="M93" s="28"/>
      <c r="N93" s="28"/>
    </row>
    <row r="94" spans="9:14" x14ac:dyDescent="0.2">
      <c r="J94" s="206"/>
      <c r="K94" s="28"/>
      <c r="L94" s="28"/>
      <c r="M94" s="28"/>
      <c r="N94" s="28"/>
    </row>
    <row r="95" spans="9:14" x14ac:dyDescent="0.2">
      <c r="J95" s="206"/>
      <c r="K95" s="28"/>
      <c r="L95" s="28"/>
      <c r="M95" s="28"/>
      <c r="N95" s="28"/>
    </row>
    <row r="96" spans="9:14" x14ac:dyDescent="0.2">
      <c r="J96" s="206"/>
      <c r="K96" s="28"/>
      <c r="L96" s="28"/>
      <c r="M96" s="28"/>
      <c r="N96" s="28"/>
    </row>
    <row r="97" spans="9:14" x14ac:dyDescent="0.2">
      <c r="J97" s="206"/>
      <c r="K97" s="28"/>
      <c r="L97" s="28"/>
      <c r="M97" s="28"/>
      <c r="N97" s="28"/>
    </row>
    <row r="98" spans="9:14" x14ac:dyDescent="0.2">
      <c r="J98" s="206"/>
      <c r="K98" s="28"/>
      <c r="L98" s="28"/>
      <c r="M98" s="28"/>
      <c r="N98" s="28"/>
    </row>
    <row r="99" spans="9:14" x14ac:dyDescent="0.2">
      <c r="J99" s="206"/>
      <c r="K99" s="28"/>
      <c r="L99" s="28"/>
      <c r="M99" s="28"/>
      <c r="N99" s="28"/>
    </row>
    <row r="100" spans="9:14" x14ac:dyDescent="0.2">
      <c r="J100" s="206"/>
      <c r="K100" s="28"/>
      <c r="L100" s="28"/>
      <c r="M100" s="28"/>
      <c r="N100" s="28"/>
    </row>
    <row r="101" spans="9:14" x14ac:dyDescent="0.2">
      <c r="J101" s="206"/>
      <c r="K101" s="28"/>
      <c r="L101" s="28"/>
      <c r="M101" s="28"/>
      <c r="N101" s="28"/>
    </row>
    <row r="102" spans="9:14" x14ac:dyDescent="0.2">
      <c r="J102" s="206"/>
      <c r="K102" s="28"/>
      <c r="L102" s="28"/>
      <c r="M102" s="28"/>
      <c r="N102" s="28"/>
    </row>
    <row r="103" spans="9:14" x14ac:dyDescent="0.2">
      <c r="J103" s="206"/>
      <c r="K103" s="28"/>
      <c r="L103" s="28"/>
      <c r="M103" s="28"/>
      <c r="N103" s="28"/>
    </row>
    <row r="104" spans="9:14" x14ac:dyDescent="0.2">
      <c r="J104" s="206"/>
      <c r="K104" s="28"/>
      <c r="L104" s="28"/>
      <c r="M104" s="28"/>
      <c r="N104" s="28"/>
    </row>
    <row r="105" spans="9:14" ht="16" x14ac:dyDescent="0.2">
      <c r="I105" s="216"/>
      <c r="J105" s="217"/>
      <c r="K105" s="218"/>
      <c r="L105" s="218"/>
      <c r="M105" s="218"/>
      <c r="N105" s="218"/>
    </row>
    <row r="106" spans="9:14" x14ac:dyDescent="0.2">
      <c r="J106" s="206"/>
      <c r="K106" s="28"/>
      <c r="L106" s="28"/>
      <c r="M106" s="28"/>
      <c r="N106" s="28"/>
    </row>
    <row r="107" spans="9:14" x14ac:dyDescent="0.2">
      <c r="J107" s="206"/>
      <c r="K107" s="28"/>
      <c r="L107" s="28"/>
      <c r="M107" s="28"/>
      <c r="N107" s="28"/>
    </row>
    <row r="108" spans="9:14" x14ac:dyDescent="0.2">
      <c r="J108" s="206"/>
      <c r="K108" s="28"/>
      <c r="L108" s="28"/>
      <c r="M108" s="28"/>
      <c r="N108" s="28"/>
    </row>
    <row r="109" spans="9:14" x14ac:dyDescent="0.2">
      <c r="J109" s="206"/>
      <c r="K109" s="28"/>
      <c r="L109" s="28"/>
      <c r="M109" s="28"/>
      <c r="N109" s="28"/>
    </row>
    <row r="110" spans="9:14" x14ac:dyDescent="0.2">
      <c r="J110" s="206"/>
      <c r="K110" s="28"/>
      <c r="L110" s="28"/>
      <c r="M110" s="28"/>
      <c r="N110" s="28"/>
    </row>
    <row r="111" spans="9:14" x14ac:dyDescent="0.2">
      <c r="J111" s="206"/>
      <c r="K111" s="28"/>
      <c r="L111" s="28"/>
      <c r="M111" s="28"/>
      <c r="N111" s="28"/>
    </row>
    <row r="112" spans="9:14" x14ac:dyDescent="0.2">
      <c r="J112" s="206"/>
      <c r="K112" s="28"/>
      <c r="L112" s="28"/>
      <c r="M112" s="28"/>
      <c r="N112" s="28"/>
    </row>
    <row r="113" spans="10:14" x14ac:dyDescent="0.2">
      <c r="J113" s="206"/>
      <c r="K113" s="28"/>
      <c r="L113" s="28"/>
      <c r="M113" s="28"/>
      <c r="N113" s="28"/>
    </row>
    <row r="114" spans="10:14" x14ac:dyDescent="0.2">
      <c r="J114" s="206"/>
      <c r="K114" s="28"/>
      <c r="L114" s="28"/>
      <c r="M114" s="28"/>
      <c r="N114" s="28"/>
    </row>
    <row r="115" spans="10:14" x14ac:dyDescent="0.2">
      <c r="J115" s="206"/>
      <c r="K115" s="28"/>
      <c r="L115" s="28"/>
      <c r="M115" s="28"/>
      <c r="N115" s="28"/>
    </row>
    <row r="116" spans="10:14" x14ac:dyDescent="0.2">
      <c r="J116" s="206"/>
      <c r="K116" s="28"/>
      <c r="L116" s="28"/>
      <c r="M116" s="28"/>
      <c r="N116" s="28"/>
    </row>
    <row r="117" spans="10:14" x14ac:dyDescent="0.2">
      <c r="J117" s="206"/>
      <c r="K117" s="28"/>
      <c r="L117" s="28"/>
      <c r="M117" s="28"/>
      <c r="N117" s="28"/>
    </row>
    <row r="118" spans="10:14" x14ac:dyDescent="0.2">
      <c r="J118" s="206"/>
      <c r="K118" s="28"/>
      <c r="L118" s="28"/>
      <c r="M118" s="28"/>
      <c r="N118" s="28"/>
    </row>
    <row r="119" spans="10:14" x14ac:dyDescent="0.2">
      <c r="J119" s="206"/>
      <c r="K119" s="28"/>
      <c r="L119" s="28"/>
      <c r="M119" s="28"/>
      <c r="N119" s="28"/>
    </row>
    <row r="120" spans="10:14" x14ac:dyDescent="0.2">
      <c r="J120" s="206"/>
      <c r="K120" s="28"/>
      <c r="L120" s="28"/>
      <c r="M120" s="28"/>
      <c r="N120" s="28"/>
    </row>
    <row r="121" spans="10:14" x14ac:dyDescent="0.2">
      <c r="J121" s="206"/>
      <c r="K121" s="28"/>
      <c r="L121" s="28"/>
      <c r="M121" s="28"/>
      <c r="N121" s="28"/>
    </row>
    <row r="122" spans="10:14" x14ac:dyDescent="0.2">
      <c r="J122" s="206"/>
      <c r="K122" s="28"/>
      <c r="L122" s="28"/>
      <c r="M122" s="28"/>
      <c r="N122" s="28"/>
    </row>
    <row r="123" spans="10:14" x14ac:dyDescent="0.2">
      <c r="J123" s="206"/>
      <c r="K123" s="28"/>
      <c r="L123" s="28"/>
      <c r="M123" s="28"/>
      <c r="N123" s="28"/>
    </row>
    <row r="124" spans="10:14" x14ac:dyDescent="0.2">
      <c r="J124" s="206"/>
      <c r="K124" s="28"/>
      <c r="L124" s="28"/>
      <c r="M124" s="28"/>
      <c r="N124" s="28"/>
    </row>
    <row r="125" spans="10:14" x14ac:dyDescent="0.2">
      <c r="J125" s="206"/>
      <c r="K125" s="28"/>
      <c r="L125" s="28"/>
      <c r="M125" s="28"/>
      <c r="N125" s="28"/>
    </row>
    <row r="126" spans="10:14" x14ac:dyDescent="0.2">
      <c r="J126" s="206"/>
      <c r="K126" s="28"/>
      <c r="L126" s="28"/>
      <c r="M126" s="28"/>
      <c r="N126" s="28"/>
    </row>
    <row r="127" spans="10:14" x14ac:dyDescent="0.2">
      <c r="J127" s="206"/>
      <c r="K127" s="28"/>
      <c r="L127" s="28"/>
      <c r="M127" s="28"/>
      <c r="N127" s="28"/>
    </row>
    <row r="128" spans="10:14" x14ac:dyDescent="0.2">
      <c r="J128" s="206"/>
      <c r="K128" s="28"/>
      <c r="L128" s="28"/>
      <c r="M128" s="28"/>
      <c r="N128" s="28"/>
    </row>
    <row r="129" spans="10:14" x14ac:dyDescent="0.2">
      <c r="J129" s="206"/>
      <c r="K129" s="28"/>
      <c r="L129" s="28"/>
      <c r="M129" s="28"/>
      <c r="N129" s="28"/>
    </row>
    <row r="130" spans="10:14" x14ac:dyDescent="0.2">
      <c r="J130" s="206"/>
      <c r="K130" s="28"/>
      <c r="L130" s="28"/>
      <c r="M130" s="28"/>
      <c r="N130" s="28"/>
    </row>
    <row r="131" spans="10:14" x14ac:dyDescent="0.2">
      <c r="J131" s="206"/>
      <c r="K131" s="28"/>
      <c r="L131" s="28"/>
      <c r="M131" s="28"/>
      <c r="N131" s="28"/>
    </row>
    <row r="132" spans="10:14" x14ac:dyDescent="0.2">
      <c r="J132" s="206"/>
      <c r="K132" s="28"/>
      <c r="L132" s="28"/>
      <c r="M132" s="28"/>
      <c r="N132" s="28"/>
    </row>
    <row r="133" spans="10:14" x14ac:dyDescent="0.2">
      <c r="J133" s="206"/>
      <c r="K133" s="28"/>
      <c r="L133" s="28"/>
      <c r="M133" s="28"/>
      <c r="N133" s="28"/>
    </row>
    <row r="134" spans="10:14" x14ac:dyDescent="0.2">
      <c r="J134" s="206"/>
      <c r="K134" s="28"/>
      <c r="L134" s="28"/>
      <c r="M134" s="28"/>
      <c r="N134" s="28"/>
    </row>
    <row r="135" spans="10:14" x14ac:dyDescent="0.2">
      <c r="J135" s="206"/>
      <c r="K135" s="28"/>
      <c r="L135" s="28"/>
      <c r="M135" s="28"/>
      <c r="N135" s="28"/>
    </row>
    <row r="136" spans="10:14" x14ac:dyDescent="0.2">
      <c r="J136" s="206"/>
      <c r="K136" s="28"/>
      <c r="L136" s="28"/>
      <c r="M136" s="28"/>
      <c r="N136" s="28"/>
    </row>
    <row r="137" spans="10:14" x14ac:dyDescent="0.2">
      <c r="J137" s="206"/>
      <c r="K137" s="28"/>
      <c r="L137" s="28"/>
      <c r="M137" s="28"/>
      <c r="N137" s="28"/>
    </row>
    <row r="138" spans="10:14" x14ac:dyDescent="0.2">
      <c r="J138" s="206"/>
      <c r="K138" s="28"/>
      <c r="L138" s="28"/>
      <c r="M138" s="28"/>
      <c r="N138" s="28"/>
    </row>
    <row r="139" spans="10:14" x14ac:dyDescent="0.2">
      <c r="J139" s="206"/>
      <c r="K139" s="28"/>
      <c r="L139" s="28"/>
      <c r="M139" s="28"/>
      <c r="N139" s="28"/>
    </row>
    <row r="140" spans="10:14" x14ac:dyDescent="0.2">
      <c r="J140" s="206"/>
      <c r="K140" s="28"/>
      <c r="L140" s="28"/>
      <c r="M140" s="28"/>
      <c r="N140" s="28"/>
    </row>
    <row r="141" spans="10:14" x14ac:dyDescent="0.2">
      <c r="J141" s="206"/>
      <c r="K141" s="28"/>
      <c r="L141" s="28"/>
      <c r="M141" s="28"/>
      <c r="N141" s="28"/>
    </row>
    <row r="142" spans="10:14" x14ac:dyDescent="0.2">
      <c r="J142" s="206"/>
      <c r="K142" s="28"/>
      <c r="L142" s="28"/>
      <c r="M142" s="28"/>
      <c r="N142" s="28"/>
    </row>
    <row r="143" spans="10:14" x14ac:dyDescent="0.2">
      <c r="J143" s="206"/>
      <c r="K143" s="28"/>
      <c r="L143" s="28"/>
      <c r="M143" s="28"/>
      <c r="N143" s="28"/>
    </row>
    <row r="144" spans="10:14" x14ac:dyDescent="0.2">
      <c r="J144" s="206"/>
      <c r="K144" s="28"/>
      <c r="L144" s="28"/>
      <c r="M144" s="28"/>
      <c r="N144" s="28"/>
    </row>
    <row r="145" spans="10:14" x14ac:dyDescent="0.2">
      <c r="J145" s="206"/>
      <c r="K145" s="28"/>
      <c r="L145" s="28"/>
      <c r="M145" s="28"/>
      <c r="N145" s="28"/>
    </row>
    <row r="146" spans="10:14" x14ac:dyDescent="0.2">
      <c r="J146" s="206"/>
      <c r="K146" s="28"/>
      <c r="L146" s="28"/>
      <c r="M146" s="28"/>
      <c r="N146" s="28"/>
    </row>
    <row r="147" spans="10:14" x14ac:dyDescent="0.2">
      <c r="J147" s="206"/>
      <c r="K147" s="28"/>
      <c r="L147" s="28"/>
      <c r="M147" s="28"/>
      <c r="N147" s="28"/>
    </row>
    <row r="148" spans="10:14" x14ac:dyDescent="0.2">
      <c r="J148" s="206"/>
      <c r="K148" s="28"/>
      <c r="L148" s="28"/>
      <c r="M148" s="28"/>
      <c r="N148" s="28"/>
    </row>
    <row r="149" spans="10:14" x14ac:dyDescent="0.2">
      <c r="J149" s="206"/>
      <c r="K149" s="28"/>
      <c r="L149" s="28"/>
      <c r="M149" s="28"/>
      <c r="N149" s="28"/>
    </row>
    <row r="150" spans="10:14" x14ac:dyDescent="0.2">
      <c r="J150" s="206"/>
      <c r="K150" s="28"/>
      <c r="L150" s="28"/>
      <c r="M150" s="28"/>
      <c r="N150" s="28"/>
    </row>
    <row r="151" spans="10:14" x14ac:dyDescent="0.2">
      <c r="J151" s="206"/>
      <c r="K151" s="28"/>
      <c r="L151" s="28"/>
      <c r="M151" s="28"/>
      <c r="N151" s="28"/>
    </row>
    <row r="152" spans="10:14" x14ac:dyDescent="0.2">
      <c r="J152" s="206"/>
      <c r="K152" s="28"/>
      <c r="L152" s="28"/>
      <c r="M152" s="28"/>
      <c r="N152" s="28"/>
    </row>
    <row r="153" spans="10:14" x14ac:dyDescent="0.2">
      <c r="J153" s="206"/>
      <c r="K153" s="28"/>
      <c r="L153" s="28"/>
      <c r="M153" s="28"/>
      <c r="N153" s="28"/>
    </row>
    <row r="154" spans="10:14" x14ac:dyDescent="0.2">
      <c r="J154" s="206"/>
      <c r="K154" s="28"/>
      <c r="L154" s="28"/>
      <c r="M154" s="28"/>
      <c r="N154" s="28"/>
    </row>
    <row r="155" spans="10:14" x14ac:dyDescent="0.2">
      <c r="J155" s="206"/>
      <c r="K155" s="28"/>
      <c r="L155" s="28"/>
      <c r="M155" s="28"/>
      <c r="N155" s="28"/>
    </row>
    <row r="156" spans="10:14" x14ac:dyDescent="0.2">
      <c r="J156" s="206"/>
      <c r="K156" s="28"/>
      <c r="L156" s="28"/>
      <c r="M156" s="28"/>
      <c r="N156" s="28"/>
    </row>
    <row r="157" spans="10:14" x14ac:dyDescent="0.2">
      <c r="J157" s="206"/>
      <c r="K157" s="28"/>
      <c r="L157" s="28"/>
      <c r="M157" s="28"/>
      <c r="N157" s="28"/>
    </row>
    <row r="158" spans="10:14" x14ac:dyDescent="0.2">
      <c r="J158" s="206"/>
      <c r="K158" s="28"/>
      <c r="L158" s="28"/>
      <c r="M158" s="28"/>
      <c r="N158" s="28"/>
    </row>
    <row r="159" spans="10:14" x14ac:dyDescent="0.2">
      <c r="J159" s="206"/>
      <c r="K159" s="28"/>
      <c r="L159" s="28"/>
      <c r="M159" s="28"/>
      <c r="N159" s="28"/>
    </row>
    <row r="160" spans="10:14" x14ac:dyDescent="0.2">
      <c r="J160" s="206"/>
      <c r="K160" s="28"/>
      <c r="L160" s="28"/>
      <c r="M160" s="28"/>
      <c r="N160" s="28"/>
    </row>
    <row r="161" spans="10:14" x14ac:dyDescent="0.2">
      <c r="J161" s="206"/>
      <c r="K161" s="28"/>
      <c r="L161" s="28"/>
      <c r="M161" s="28"/>
      <c r="N161" s="28"/>
    </row>
    <row r="162" spans="10:14" x14ac:dyDescent="0.2">
      <c r="J162" s="206"/>
      <c r="K162" s="28"/>
      <c r="L162" s="28"/>
      <c r="M162" s="28"/>
      <c r="N162" s="28"/>
    </row>
    <row r="163" spans="10:14" x14ac:dyDescent="0.2">
      <c r="J163" s="206"/>
      <c r="K163" s="28"/>
      <c r="L163" s="28"/>
      <c r="M163" s="28"/>
      <c r="N163" s="28"/>
    </row>
    <row r="164" spans="10:14" x14ac:dyDescent="0.2">
      <c r="J164" s="206"/>
      <c r="K164" s="28"/>
      <c r="L164" s="28"/>
      <c r="M164" s="28"/>
      <c r="N164" s="28"/>
    </row>
    <row r="165" spans="10:14" x14ac:dyDescent="0.2">
      <c r="J165" s="206"/>
      <c r="K165" s="28"/>
      <c r="L165" s="28"/>
      <c r="M165" s="28"/>
      <c r="N165" s="28"/>
    </row>
    <row r="166" spans="10:14" x14ac:dyDescent="0.2">
      <c r="J166" s="206"/>
      <c r="K166" s="28"/>
      <c r="L166" s="28"/>
      <c r="M166" s="28"/>
      <c r="N166" s="28"/>
    </row>
    <row r="167" spans="10:14" x14ac:dyDescent="0.2">
      <c r="J167" s="206"/>
      <c r="K167" s="28"/>
      <c r="L167" s="28"/>
      <c r="M167" s="28"/>
      <c r="N167" s="28"/>
    </row>
    <row r="168" spans="10:14" x14ac:dyDescent="0.2">
      <c r="J168" s="206"/>
      <c r="K168" s="28"/>
      <c r="L168" s="28"/>
      <c r="M168" s="28"/>
      <c r="N168" s="28"/>
    </row>
    <row r="169" spans="10:14" x14ac:dyDescent="0.2">
      <c r="J169" s="206"/>
      <c r="K169" s="28"/>
      <c r="L169" s="28"/>
      <c r="M169" s="28"/>
      <c r="N169" s="28"/>
    </row>
    <row r="170" spans="10:14" x14ac:dyDescent="0.2">
      <c r="J170" s="206"/>
      <c r="K170" s="28"/>
      <c r="L170" s="28"/>
      <c r="M170" s="28"/>
      <c r="N170" s="28"/>
    </row>
    <row r="171" spans="10:14" x14ac:dyDescent="0.2">
      <c r="J171" s="206"/>
      <c r="K171" s="28"/>
      <c r="L171" s="28"/>
      <c r="M171" s="28"/>
      <c r="N171" s="28"/>
    </row>
    <row r="172" spans="10:14" x14ac:dyDescent="0.2">
      <c r="J172" s="206"/>
      <c r="K172" s="28"/>
      <c r="L172" s="28"/>
      <c r="M172" s="28"/>
      <c r="N172" s="28"/>
    </row>
    <row r="173" spans="10:14" x14ac:dyDescent="0.2">
      <c r="J173" s="206"/>
      <c r="K173" s="28"/>
      <c r="L173" s="28"/>
      <c r="M173" s="28"/>
      <c r="N173" s="28"/>
    </row>
    <row r="174" spans="10:14" x14ac:dyDescent="0.2">
      <c r="J174" s="206"/>
      <c r="K174" s="28"/>
      <c r="L174" s="28"/>
      <c r="M174" s="28"/>
      <c r="N174" s="28"/>
    </row>
    <row r="175" spans="10:14" x14ac:dyDescent="0.2">
      <c r="J175" s="206"/>
      <c r="K175" s="28"/>
      <c r="L175" s="28"/>
      <c r="M175" s="28"/>
      <c r="N175" s="28"/>
    </row>
    <row r="176" spans="10:14" x14ac:dyDescent="0.2">
      <c r="J176" s="206"/>
      <c r="K176" s="28"/>
      <c r="L176" s="28"/>
      <c r="M176" s="28"/>
      <c r="N176" s="28"/>
    </row>
    <row r="177" spans="10:14" x14ac:dyDescent="0.2">
      <c r="J177" s="206"/>
      <c r="K177" s="28"/>
      <c r="L177" s="28"/>
      <c r="M177" s="28"/>
      <c r="N177" s="28"/>
    </row>
    <row r="178" spans="10:14" x14ac:dyDescent="0.2">
      <c r="J178" s="206"/>
      <c r="K178" s="28"/>
      <c r="L178" s="28"/>
      <c r="M178" s="28"/>
      <c r="N178" s="28"/>
    </row>
    <row r="179" spans="10:14" x14ac:dyDescent="0.2">
      <c r="J179" s="206"/>
      <c r="K179" s="28"/>
      <c r="L179" s="28"/>
      <c r="M179" s="28"/>
      <c r="N179" s="28"/>
    </row>
    <row r="180" spans="10:14" x14ac:dyDescent="0.2">
      <c r="J180" s="206"/>
      <c r="K180" s="28"/>
      <c r="L180" s="28"/>
      <c r="M180" s="28"/>
      <c r="N180" s="28"/>
    </row>
    <row r="181" spans="10:14" x14ac:dyDescent="0.2">
      <c r="J181" s="206"/>
      <c r="K181" s="28"/>
      <c r="L181" s="28"/>
      <c r="M181" s="28"/>
      <c r="N181" s="28"/>
    </row>
    <row r="182" spans="10:14" x14ac:dyDescent="0.2">
      <c r="J182" s="206"/>
      <c r="K182" s="28"/>
      <c r="L182" s="28"/>
      <c r="M182" s="28"/>
      <c r="N182" s="28"/>
    </row>
    <row r="183" spans="10:14" x14ac:dyDescent="0.2">
      <c r="J183" s="206"/>
      <c r="K183" s="28"/>
      <c r="L183" s="28"/>
      <c r="M183" s="28"/>
      <c r="N183" s="28"/>
    </row>
    <row r="184" spans="10:14" x14ac:dyDescent="0.2">
      <c r="J184" s="206"/>
      <c r="K184" s="28"/>
      <c r="L184" s="28"/>
      <c r="M184" s="28"/>
      <c r="N184" s="28"/>
    </row>
    <row r="185" spans="10:14" x14ac:dyDescent="0.2">
      <c r="J185" s="206"/>
      <c r="K185" s="28"/>
      <c r="L185" s="28"/>
      <c r="M185" s="28"/>
      <c r="N185" s="28"/>
    </row>
    <row r="186" spans="10:14" x14ac:dyDescent="0.2">
      <c r="J186" s="206"/>
      <c r="K186" s="28"/>
      <c r="L186" s="28"/>
      <c r="M186" s="28"/>
      <c r="N186" s="28"/>
    </row>
    <row r="187" spans="10:14" x14ac:dyDescent="0.2">
      <c r="J187" s="206"/>
      <c r="K187" s="28"/>
      <c r="L187" s="28"/>
      <c r="M187" s="28"/>
      <c r="N187" s="28"/>
    </row>
    <row r="188" spans="10:14" x14ac:dyDescent="0.2">
      <c r="J188" s="206"/>
      <c r="K188" s="28"/>
      <c r="L188" s="28"/>
      <c r="M188" s="28"/>
      <c r="N188" s="28"/>
    </row>
    <row r="189" spans="10:14" x14ac:dyDescent="0.2">
      <c r="J189" s="206"/>
      <c r="K189" s="28"/>
      <c r="L189" s="28"/>
      <c r="M189" s="28"/>
      <c r="N189" s="28"/>
    </row>
    <row r="190" spans="10:14" x14ac:dyDescent="0.2">
      <c r="J190" s="206"/>
      <c r="K190" s="28"/>
      <c r="L190" s="28"/>
      <c r="M190" s="28"/>
      <c r="N190" s="28"/>
    </row>
    <row r="191" spans="10:14" x14ac:dyDescent="0.2">
      <c r="J191" s="206"/>
      <c r="K191" s="28"/>
      <c r="L191" s="28"/>
      <c r="M191" s="28"/>
      <c r="N191" s="28"/>
    </row>
    <row r="192" spans="10:14" x14ac:dyDescent="0.2">
      <c r="J192" s="206"/>
      <c r="K192" s="28"/>
      <c r="L192" s="28"/>
      <c r="M192" s="28"/>
      <c r="N192" s="28"/>
    </row>
    <row r="193" spans="10:14" x14ac:dyDescent="0.2">
      <c r="J193" s="206"/>
      <c r="K193" s="28"/>
      <c r="L193" s="28"/>
      <c r="M193" s="28"/>
      <c r="N193" s="28"/>
    </row>
    <row r="194" spans="10:14" x14ac:dyDescent="0.2">
      <c r="J194" s="206"/>
      <c r="K194" s="28"/>
      <c r="L194" s="28"/>
      <c r="M194" s="28"/>
      <c r="N194" s="28"/>
    </row>
    <row r="195" spans="10:14" x14ac:dyDescent="0.2">
      <c r="J195" s="206"/>
      <c r="K195" s="28"/>
      <c r="L195" s="28"/>
      <c r="M195" s="28"/>
      <c r="N195" s="28"/>
    </row>
    <row r="196" spans="10:14" x14ac:dyDescent="0.2">
      <c r="J196" s="206"/>
      <c r="K196" s="28"/>
      <c r="L196" s="28"/>
      <c r="M196" s="28"/>
      <c r="N196" s="28"/>
    </row>
    <row r="197" spans="10:14" x14ac:dyDescent="0.2">
      <c r="J197" s="206"/>
      <c r="K197" s="28"/>
      <c r="L197" s="28"/>
      <c r="M197" s="28"/>
      <c r="N197" s="28"/>
    </row>
    <row r="198" spans="10:14" x14ac:dyDescent="0.2">
      <c r="J198" s="206"/>
      <c r="K198" s="28"/>
      <c r="L198" s="28"/>
      <c r="M198" s="28"/>
      <c r="N198" s="28"/>
    </row>
    <row r="199" spans="10:14" x14ac:dyDescent="0.2">
      <c r="J199" s="206"/>
      <c r="K199" s="28"/>
      <c r="L199" s="28"/>
      <c r="M199" s="28"/>
      <c r="N199" s="28"/>
    </row>
    <row r="200" spans="10:14" x14ac:dyDescent="0.2">
      <c r="J200" s="206"/>
      <c r="K200" s="28"/>
      <c r="L200" s="28"/>
      <c r="M200" s="28"/>
      <c r="N200" s="28"/>
    </row>
    <row r="201" spans="10:14" x14ac:dyDescent="0.2">
      <c r="J201" s="206"/>
      <c r="K201" s="28"/>
      <c r="L201" s="28"/>
      <c r="M201" s="28"/>
      <c r="N201" s="28"/>
    </row>
    <row r="202" spans="10:14" x14ac:dyDescent="0.2">
      <c r="J202" s="206"/>
      <c r="K202" s="28"/>
      <c r="L202" s="28"/>
      <c r="M202" s="28"/>
      <c r="N202" s="28"/>
    </row>
    <row r="203" spans="10:14" x14ac:dyDescent="0.2">
      <c r="J203" s="206"/>
      <c r="K203" s="28"/>
      <c r="L203" s="28"/>
      <c r="M203" s="28"/>
      <c r="N203" s="28"/>
    </row>
    <row r="204" spans="10:14" x14ac:dyDescent="0.2">
      <c r="J204" s="206"/>
      <c r="K204" s="28"/>
      <c r="L204" s="28"/>
      <c r="M204" s="28"/>
      <c r="N204" s="28"/>
    </row>
    <row r="205" spans="10:14" x14ac:dyDescent="0.2">
      <c r="J205" s="206"/>
      <c r="K205" s="28"/>
      <c r="L205" s="28"/>
      <c r="M205" s="28"/>
      <c r="N205" s="28"/>
    </row>
    <row r="206" spans="10:14" x14ac:dyDescent="0.2">
      <c r="J206" s="206"/>
      <c r="K206" s="28"/>
      <c r="L206" s="28"/>
      <c r="M206" s="28"/>
      <c r="N206" s="28"/>
    </row>
    <row r="207" spans="10:14" x14ac:dyDescent="0.2">
      <c r="J207" s="206"/>
      <c r="K207" s="28"/>
      <c r="L207" s="28"/>
      <c r="M207" s="28"/>
      <c r="N207" s="28"/>
    </row>
    <row r="208" spans="10:14" x14ac:dyDescent="0.2">
      <c r="J208" s="206"/>
      <c r="K208" s="28"/>
      <c r="L208" s="28"/>
      <c r="M208" s="28"/>
      <c r="N208" s="28"/>
    </row>
    <row r="209" spans="10:14" x14ac:dyDescent="0.2">
      <c r="J209" s="206"/>
      <c r="K209" s="28"/>
      <c r="L209" s="28"/>
      <c r="M209" s="28"/>
      <c r="N209" s="28"/>
    </row>
    <row r="210" spans="10:14" x14ac:dyDescent="0.2">
      <c r="J210" s="206"/>
      <c r="K210" s="28"/>
      <c r="L210" s="28"/>
      <c r="M210" s="28"/>
      <c r="N210" s="28"/>
    </row>
    <row r="211" spans="10:14" x14ac:dyDescent="0.2">
      <c r="J211" s="206"/>
      <c r="K211" s="28"/>
      <c r="L211" s="28"/>
      <c r="M211" s="28"/>
      <c r="N211" s="28"/>
    </row>
    <row r="212" spans="10:14" x14ac:dyDescent="0.2">
      <c r="J212" s="206"/>
      <c r="K212" s="28"/>
      <c r="L212" s="28"/>
      <c r="M212" s="28"/>
      <c r="N212" s="28"/>
    </row>
    <row r="213" spans="10:14" x14ac:dyDescent="0.2">
      <c r="J213" s="206"/>
      <c r="K213" s="28"/>
      <c r="L213" s="28"/>
      <c r="M213" s="28"/>
      <c r="N213" s="28"/>
    </row>
    <row r="214" spans="10:14" x14ac:dyDescent="0.2">
      <c r="J214" s="206"/>
      <c r="K214" s="28"/>
      <c r="L214" s="28"/>
      <c r="M214" s="28"/>
      <c r="N214" s="28"/>
    </row>
    <row r="215" spans="10:14" x14ac:dyDescent="0.2">
      <c r="J215" s="206"/>
      <c r="K215" s="28"/>
      <c r="L215" s="28"/>
      <c r="M215" s="28"/>
      <c r="N215" s="28"/>
    </row>
    <row r="216" spans="10:14" x14ac:dyDescent="0.2">
      <c r="J216" s="206"/>
      <c r="K216" s="28"/>
      <c r="L216" s="28"/>
      <c r="M216" s="28"/>
      <c r="N216" s="28"/>
    </row>
    <row r="217" spans="10:14" x14ac:dyDescent="0.2">
      <c r="J217" s="206"/>
      <c r="K217" s="28"/>
      <c r="L217" s="28"/>
      <c r="M217" s="28"/>
      <c r="N217" s="28"/>
    </row>
    <row r="218" spans="10:14" x14ac:dyDescent="0.2">
      <c r="J218" s="206"/>
      <c r="K218" s="28"/>
      <c r="L218" s="28"/>
      <c r="M218" s="28"/>
      <c r="N218" s="28"/>
    </row>
    <row r="219" spans="10:14" x14ac:dyDescent="0.2">
      <c r="J219" s="206"/>
      <c r="K219" s="28"/>
      <c r="L219" s="28"/>
      <c r="M219" s="28"/>
      <c r="N219" s="28"/>
    </row>
    <row r="220" spans="10:14" x14ac:dyDescent="0.2">
      <c r="J220" s="206"/>
      <c r="K220" s="28"/>
      <c r="L220" s="28"/>
      <c r="M220" s="28"/>
      <c r="N220" s="28"/>
    </row>
    <row r="221" spans="10:14" x14ac:dyDescent="0.2">
      <c r="J221" s="206"/>
      <c r="K221" s="28"/>
      <c r="L221" s="28"/>
      <c r="M221" s="28"/>
      <c r="N221" s="28"/>
    </row>
    <row r="222" spans="10:14" x14ac:dyDescent="0.2">
      <c r="J222" s="206"/>
      <c r="K222" s="28"/>
      <c r="L222" s="28"/>
      <c r="M222" s="28"/>
      <c r="N222" s="28"/>
    </row>
    <row r="223" spans="10:14" x14ac:dyDescent="0.2">
      <c r="J223" s="206"/>
      <c r="K223" s="28"/>
      <c r="L223" s="28"/>
      <c r="M223" s="28"/>
      <c r="N223" s="28"/>
    </row>
    <row r="224" spans="10:14" x14ac:dyDescent="0.2">
      <c r="J224" s="206"/>
      <c r="K224" s="28"/>
      <c r="L224" s="28"/>
      <c r="M224" s="28"/>
      <c r="N224" s="28"/>
    </row>
    <row r="225" spans="10:14" x14ac:dyDescent="0.2">
      <c r="J225" s="206"/>
      <c r="K225" s="28"/>
      <c r="L225" s="28"/>
      <c r="M225" s="28"/>
      <c r="N225" s="28"/>
    </row>
    <row r="226" spans="10:14" x14ac:dyDescent="0.2">
      <c r="J226" s="206"/>
      <c r="K226" s="28"/>
      <c r="L226" s="28"/>
      <c r="M226" s="28"/>
      <c r="N226" s="28"/>
    </row>
    <row r="227" spans="10:14" x14ac:dyDescent="0.2">
      <c r="J227" s="206"/>
      <c r="K227" s="28"/>
      <c r="L227" s="28"/>
      <c r="M227" s="28"/>
      <c r="N227" s="28"/>
    </row>
    <row r="228" spans="10:14" x14ac:dyDescent="0.2">
      <c r="J228" s="206"/>
      <c r="K228" s="28"/>
      <c r="L228" s="28"/>
      <c r="M228" s="28"/>
      <c r="N228" s="28"/>
    </row>
    <row r="229" spans="10:14" x14ac:dyDescent="0.2">
      <c r="J229" s="206"/>
      <c r="K229" s="28"/>
      <c r="L229" s="28"/>
      <c r="M229" s="28"/>
      <c r="N229" s="28"/>
    </row>
    <row r="230" spans="10:14" x14ac:dyDescent="0.2">
      <c r="J230" s="206"/>
      <c r="K230" s="28"/>
      <c r="L230" s="28"/>
      <c r="M230" s="28"/>
      <c r="N230" s="28"/>
    </row>
    <row r="231" spans="10:14" x14ac:dyDescent="0.2">
      <c r="J231" s="206"/>
      <c r="K231" s="28"/>
      <c r="L231" s="28"/>
      <c r="M231" s="28"/>
      <c r="N231" s="28"/>
    </row>
    <row r="232" spans="10:14" x14ac:dyDescent="0.2">
      <c r="J232" s="206"/>
      <c r="K232" s="28"/>
      <c r="L232" s="28"/>
      <c r="M232" s="28"/>
      <c r="N232" s="28"/>
    </row>
    <row r="233" spans="10:14" x14ac:dyDescent="0.2">
      <c r="J233" s="206"/>
      <c r="K233" s="28"/>
      <c r="L233" s="28"/>
      <c r="M233" s="28"/>
      <c r="N233" s="28"/>
    </row>
    <row r="234" spans="10:14" x14ac:dyDescent="0.2">
      <c r="J234" s="206"/>
      <c r="K234" s="28"/>
      <c r="L234" s="28"/>
      <c r="M234" s="28"/>
      <c r="N234" s="28"/>
    </row>
    <row r="235" spans="10:14" x14ac:dyDescent="0.2">
      <c r="J235" s="206"/>
      <c r="K235" s="28"/>
      <c r="L235" s="28"/>
      <c r="M235" s="28"/>
      <c r="N235" s="28"/>
    </row>
    <row r="236" spans="10:14" x14ac:dyDescent="0.2">
      <c r="J236" s="206"/>
      <c r="K236" s="28"/>
      <c r="L236" s="28"/>
      <c r="M236" s="28"/>
      <c r="N236" s="28"/>
    </row>
    <row r="237" spans="10:14" x14ac:dyDescent="0.2">
      <c r="J237" s="206"/>
      <c r="K237" s="28"/>
      <c r="L237" s="28"/>
      <c r="M237" s="28"/>
      <c r="N237" s="28"/>
    </row>
    <row r="238" spans="10:14" x14ac:dyDescent="0.2">
      <c r="J238" s="206"/>
      <c r="K238" s="28"/>
      <c r="L238" s="28"/>
      <c r="M238" s="28"/>
      <c r="N238" s="28"/>
    </row>
    <row r="239" spans="10:14" x14ac:dyDescent="0.2">
      <c r="J239" s="206"/>
      <c r="K239" s="28"/>
      <c r="L239" s="28"/>
      <c r="M239" s="28"/>
      <c r="N239" s="28"/>
    </row>
    <row r="240" spans="10:14" x14ac:dyDescent="0.2">
      <c r="J240" s="206"/>
      <c r="K240" s="28"/>
      <c r="L240" s="28"/>
      <c r="M240" s="28"/>
      <c r="N240" s="28"/>
    </row>
    <row r="241" spans="10:14" x14ac:dyDescent="0.2">
      <c r="J241" s="206"/>
      <c r="K241" s="28"/>
      <c r="L241" s="28"/>
      <c r="M241" s="28"/>
      <c r="N241" s="28"/>
    </row>
    <row r="242" spans="10:14" x14ac:dyDescent="0.2">
      <c r="J242" s="206"/>
      <c r="K242" s="28"/>
      <c r="L242" s="28"/>
      <c r="M242" s="28"/>
      <c r="N242" s="28"/>
    </row>
    <row r="243" spans="10:14" x14ac:dyDescent="0.2">
      <c r="J243" s="206"/>
      <c r="K243" s="28"/>
      <c r="L243" s="28"/>
      <c r="M243" s="28"/>
      <c r="N243" s="28"/>
    </row>
    <row r="244" spans="10:14" x14ac:dyDescent="0.2">
      <c r="J244" s="206"/>
      <c r="K244" s="28"/>
      <c r="L244" s="28"/>
      <c r="M244" s="28"/>
      <c r="N244" s="28"/>
    </row>
    <row r="245" spans="10:14" x14ac:dyDescent="0.2">
      <c r="J245" s="206"/>
      <c r="K245" s="28"/>
      <c r="L245" s="28"/>
      <c r="M245" s="28"/>
      <c r="N245" s="28"/>
    </row>
    <row r="246" spans="10:14" x14ac:dyDescent="0.2">
      <c r="J246" s="206"/>
      <c r="K246" s="28"/>
      <c r="L246" s="28"/>
      <c r="M246" s="28"/>
      <c r="N246" s="28"/>
    </row>
    <row r="247" spans="10:14" x14ac:dyDescent="0.2">
      <c r="J247" s="206"/>
      <c r="K247" s="28"/>
      <c r="L247" s="28"/>
      <c r="M247" s="28"/>
      <c r="N247" s="28"/>
    </row>
    <row r="248" spans="10:14" x14ac:dyDescent="0.2">
      <c r="J248" s="206"/>
      <c r="K248" s="28"/>
      <c r="L248" s="28"/>
      <c r="M248" s="28"/>
      <c r="N248" s="28"/>
    </row>
    <row r="249" spans="10:14" x14ac:dyDescent="0.2">
      <c r="J249" s="206"/>
      <c r="K249" s="28"/>
      <c r="L249" s="28"/>
      <c r="M249" s="28"/>
      <c r="N249" s="28"/>
    </row>
    <row r="250" spans="10:14" x14ac:dyDescent="0.2">
      <c r="J250" s="206"/>
      <c r="K250" s="28"/>
      <c r="L250" s="28"/>
      <c r="M250" s="28"/>
      <c r="N250" s="28"/>
    </row>
    <row r="251" spans="10:14" x14ac:dyDescent="0.2">
      <c r="J251" s="206"/>
      <c r="K251" s="28"/>
      <c r="L251" s="28"/>
      <c r="M251" s="28"/>
      <c r="N251" s="28"/>
    </row>
    <row r="252" spans="10:14" x14ac:dyDescent="0.2">
      <c r="J252" s="206"/>
      <c r="K252" s="28"/>
      <c r="L252" s="28"/>
      <c r="M252" s="28"/>
      <c r="N252" s="28"/>
    </row>
    <row r="253" spans="10:14" x14ac:dyDescent="0.2">
      <c r="J253" s="206"/>
      <c r="K253" s="28"/>
      <c r="L253" s="28"/>
      <c r="M253" s="28"/>
      <c r="N253" s="28"/>
    </row>
    <row r="254" spans="10:14" x14ac:dyDescent="0.2">
      <c r="J254" s="206"/>
      <c r="K254" s="28"/>
      <c r="L254" s="28"/>
      <c r="M254" s="28"/>
      <c r="N254" s="28"/>
    </row>
    <row r="255" spans="10:14" x14ac:dyDescent="0.2">
      <c r="J255" s="206"/>
      <c r="K255" s="28"/>
      <c r="L255" s="28"/>
      <c r="M255" s="28"/>
      <c r="N255" s="28"/>
    </row>
    <row r="256" spans="10:14" x14ac:dyDescent="0.2">
      <c r="J256" s="206"/>
      <c r="K256" s="28"/>
      <c r="L256" s="28"/>
      <c r="M256" s="28"/>
      <c r="N256" s="28"/>
    </row>
    <row r="257" spans="10:14" x14ac:dyDescent="0.2">
      <c r="J257" s="206"/>
      <c r="K257" s="28"/>
      <c r="L257" s="28"/>
      <c r="M257" s="28"/>
      <c r="N257" s="28"/>
    </row>
    <row r="258" spans="10:14" x14ac:dyDescent="0.2">
      <c r="J258" s="206"/>
      <c r="K258" s="28"/>
      <c r="L258" s="28"/>
      <c r="M258" s="28"/>
      <c r="N258" s="28"/>
    </row>
    <row r="259" spans="10:14" x14ac:dyDescent="0.2">
      <c r="J259" s="206"/>
      <c r="K259" s="28"/>
      <c r="L259" s="28"/>
      <c r="M259" s="28"/>
      <c r="N259" s="28"/>
    </row>
    <row r="260" spans="10:14" x14ac:dyDescent="0.2">
      <c r="J260" s="206"/>
      <c r="K260" s="28"/>
      <c r="L260" s="28"/>
      <c r="M260" s="28"/>
      <c r="N260" s="28"/>
    </row>
    <row r="261" spans="10:14" x14ac:dyDescent="0.2">
      <c r="J261" s="206"/>
      <c r="K261" s="28"/>
      <c r="L261" s="28"/>
      <c r="M261" s="28"/>
      <c r="N261" s="28"/>
    </row>
    <row r="262" spans="10:14" x14ac:dyDescent="0.2">
      <c r="J262" s="206"/>
      <c r="K262" s="28"/>
      <c r="L262" s="28"/>
      <c r="M262" s="28"/>
      <c r="N262" s="28"/>
    </row>
    <row r="263" spans="10:14" x14ac:dyDescent="0.2">
      <c r="J263" s="206"/>
      <c r="K263" s="28"/>
      <c r="L263" s="28"/>
      <c r="M263" s="28"/>
      <c r="N263" s="28"/>
    </row>
    <row r="264" spans="10:14" x14ac:dyDescent="0.2">
      <c r="J264" s="206"/>
      <c r="K264" s="28"/>
      <c r="L264" s="28"/>
      <c r="M264" s="28"/>
      <c r="N264" s="28"/>
    </row>
    <row r="265" spans="10:14" x14ac:dyDescent="0.2">
      <c r="J265" s="206"/>
      <c r="K265" s="28"/>
      <c r="L265" s="28"/>
      <c r="M265" s="28"/>
      <c r="N265" s="28"/>
    </row>
    <row r="266" spans="10:14" x14ac:dyDescent="0.2">
      <c r="J266" s="206"/>
      <c r="K266" s="28"/>
      <c r="L266" s="28"/>
      <c r="M266" s="28"/>
      <c r="N266" s="28"/>
    </row>
    <row r="267" spans="10:14" x14ac:dyDescent="0.2">
      <c r="J267" s="206"/>
      <c r="K267" s="28"/>
      <c r="L267" s="28"/>
      <c r="M267" s="28"/>
      <c r="N267" s="28"/>
    </row>
    <row r="268" spans="10:14" x14ac:dyDescent="0.2">
      <c r="J268" s="206"/>
      <c r="K268" s="28"/>
      <c r="L268" s="28"/>
      <c r="M268" s="28"/>
      <c r="N268" s="28"/>
    </row>
    <row r="269" spans="10:14" x14ac:dyDescent="0.2">
      <c r="J269" s="206"/>
      <c r="K269" s="28"/>
      <c r="L269" s="28"/>
      <c r="M269" s="28"/>
      <c r="N269" s="28"/>
    </row>
    <row r="270" spans="10:14" x14ac:dyDescent="0.2">
      <c r="J270" s="206"/>
      <c r="K270" s="28"/>
      <c r="L270" s="28"/>
      <c r="M270" s="28"/>
      <c r="N270" s="28"/>
    </row>
    <row r="271" spans="10:14" x14ac:dyDescent="0.2">
      <c r="J271" s="206"/>
      <c r="K271" s="28"/>
      <c r="L271" s="28"/>
      <c r="M271" s="28"/>
      <c r="N271" s="28"/>
    </row>
    <row r="272" spans="10:14" x14ac:dyDescent="0.2">
      <c r="J272" s="206"/>
      <c r="K272" s="28"/>
      <c r="L272" s="28"/>
      <c r="M272" s="28"/>
      <c r="N272" s="28"/>
    </row>
    <row r="273" spans="10:14" x14ac:dyDescent="0.2">
      <c r="J273" s="206"/>
      <c r="K273" s="28"/>
      <c r="L273" s="28"/>
      <c r="M273" s="28"/>
      <c r="N273" s="28"/>
    </row>
    <row r="274" spans="10:14" x14ac:dyDescent="0.2">
      <c r="J274" s="206"/>
      <c r="K274" s="28"/>
      <c r="L274" s="28"/>
      <c r="M274" s="28"/>
      <c r="N274" s="28"/>
    </row>
    <row r="275" spans="10:14" x14ac:dyDescent="0.2">
      <c r="J275" s="206"/>
      <c r="K275" s="28"/>
      <c r="L275" s="28"/>
      <c r="M275" s="28"/>
      <c r="N275" s="28"/>
    </row>
    <row r="276" spans="10:14" x14ac:dyDescent="0.2">
      <c r="J276" s="206"/>
      <c r="K276" s="28"/>
      <c r="L276" s="28"/>
      <c r="M276" s="28"/>
      <c r="N276" s="28"/>
    </row>
    <row r="277" spans="10:14" x14ac:dyDescent="0.2">
      <c r="J277" s="206"/>
      <c r="K277" s="28"/>
      <c r="L277" s="28"/>
      <c r="M277" s="28"/>
      <c r="N277" s="28"/>
    </row>
    <row r="278" spans="10:14" x14ac:dyDescent="0.2">
      <c r="J278" s="206"/>
      <c r="K278" s="28"/>
      <c r="L278" s="28"/>
      <c r="M278" s="28"/>
      <c r="N278" s="28"/>
    </row>
    <row r="279" spans="10:14" x14ac:dyDescent="0.2">
      <c r="J279" s="206"/>
      <c r="K279" s="28"/>
      <c r="L279" s="28"/>
      <c r="M279" s="28"/>
      <c r="N279" s="28"/>
    </row>
    <row r="280" spans="10:14" x14ac:dyDescent="0.2">
      <c r="J280" s="206"/>
      <c r="K280" s="28"/>
      <c r="L280" s="28"/>
      <c r="M280" s="28"/>
      <c r="N280" s="28"/>
    </row>
    <row r="281" spans="10:14" x14ac:dyDescent="0.2">
      <c r="J281" s="206"/>
      <c r="K281" s="28"/>
      <c r="L281" s="28"/>
      <c r="M281" s="28"/>
      <c r="N281" s="28"/>
    </row>
    <row r="282" spans="10:14" x14ac:dyDescent="0.2">
      <c r="J282" s="206"/>
      <c r="K282" s="28"/>
      <c r="L282" s="28"/>
      <c r="M282" s="28"/>
      <c r="N282" s="28"/>
    </row>
    <row r="283" spans="10:14" x14ac:dyDescent="0.2">
      <c r="J283" s="206"/>
      <c r="K283" s="28"/>
      <c r="L283" s="28"/>
      <c r="M283" s="28"/>
      <c r="N283" s="28"/>
    </row>
    <row r="284" spans="10:14" x14ac:dyDescent="0.2">
      <c r="J284" s="206"/>
      <c r="K284" s="28"/>
      <c r="L284" s="28"/>
      <c r="M284" s="28"/>
      <c r="N284" s="28"/>
    </row>
    <row r="285" spans="10:14" x14ac:dyDescent="0.2">
      <c r="J285" s="206"/>
      <c r="K285" s="28"/>
      <c r="L285" s="28"/>
      <c r="M285" s="28"/>
      <c r="N285" s="28"/>
    </row>
    <row r="286" spans="10:14" x14ac:dyDescent="0.2">
      <c r="J286" s="206"/>
      <c r="K286" s="28"/>
      <c r="L286" s="28"/>
      <c r="M286" s="28"/>
      <c r="N286" s="28"/>
    </row>
    <row r="287" spans="10:14" x14ac:dyDescent="0.2">
      <c r="J287" s="206"/>
      <c r="K287" s="28"/>
      <c r="L287" s="28"/>
      <c r="M287" s="28"/>
      <c r="N287" s="28"/>
    </row>
    <row r="288" spans="10:14" x14ac:dyDescent="0.2">
      <c r="J288" s="206"/>
      <c r="K288" s="28"/>
      <c r="L288" s="28"/>
      <c r="M288" s="28"/>
      <c r="N288" s="28"/>
    </row>
    <row r="289" spans="10:14" x14ac:dyDescent="0.2">
      <c r="J289" s="206"/>
      <c r="K289" s="28"/>
      <c r="L289" s="28"/>
      <c r="M289" s="28"/>
      <c r="N289" s="28"/>
    </row>
    <row r="290" spans="10:14" x14ac:dyDescent="0.2">
      <c r="J290" s="206"/>
      <c r="K290" s="28"/>
      <c r="L290" s="28"/>
      <c r="M290" s="28"/>
      <c r="N290" s="28"/>
    </row>
    <row r="291" spans="10:14" x14ac:dyDescent="0.2">
      <c r="J291" s="206"/>
      <c r="K291" s="28"/>
      <c r="L291" s="28"/>
      <c r="M291" s="28"/>
      <c r="N291" s="28"/>
    </row>
    <row r="292" spans="10:14" x14ac:dyDescent="0.2">
      <c r="J292" s="206"/>
      <c r="K292" s="28"/>
      <c r="L292" s="28"/>
      <c r="M292" s="28"/>
      <c r="N292" s="28"/>
    </row>
    <row r="293" spans="10:14" x14ac:dyDescent="0.2">
      <c r="J293" s="206"/>
      <c r="K293" s="28"/>
      <c r="L293" s="28"/>
      <c r="M293" s="28"/>
      <c r="N293" s="28"/>
    </row>
    <row r="294" spans="10:14" x14ac:dyDescent="0.2">
      <c r="J294" s="206"/>
      <c r="K294" s="28"/>
      <c r="L294" s="28"/>
      <c r="M294" s="28"/>
      <c r="N294" s="28"/>
    </row>
    <row r="295" spans="10:14" x14ac:dyDescent="0.2">
      <c r="J295" s="206"/>
      <c r="K295" s="28"/>
      <c r="L295" s="28"/>
      <c r="M295" s="28"/>
      <c r="N295" s="28"/>
    </row>
    <row r="296" spans="10:14" x14ac:dyDescent="0.2">
      <c r="J296" s="206"/>
      <c r="K296" s="28"/>
      <c r="L296" s="28"/>
      <c r="M296" s="28"/>
      <c r="N296" s="28"/>
    </row>
    <row r="297" spans="10:14" x14ac:dyDescent="0.2">
      <c r="J297" s="206"/>
      <c r="K297" s="28"/>
      <c r="L297" s="28"/>
      <c r="M297" s="28"/>
      <c r="N297" s="28"/>
    </row>
    <row r="298" spans="10:14" x14ac:dyDescent="0.2">
      <c r="J298" s="206"/>
      <c r="K298" s="28"/>
      <c r="L298" s="28"/>
      <c r="M298" s="28"/>
      <c r="N298" s="28"/>
    </row>
    <row r="299" spans="10:14" x14ac:dyDescent="0.2">
      <c r="J299" s="206"/>
      <c r="K299" s="28"/>
      <c r="L299" s="28"/>
      <c r="M299" s="28"/>
      <c r="N299" s="28"/>
    </row>
    <row r="300" spans="10:14" x14ac:dyDescent="0.2">
      <c r="J300" s="206"/>
      <c r="K300" s="28"/>
      <c r="L300" s="28"/>
      <c r="M300" s="28"/>
      <c r="N300" s="28"/>
    </row>
    <row r="301" spans="10:14" x14ac:dyDescent="0.2">
      <c r="J301" s="206"/>
      <c r="K301" s="28"/>
      <c r="L301" s="28"/>
      <c r="M301" s="28"/>
      <c r="N301" s="28"/>
    </row>
    <row r="302" spans="10:14" x14ac:dyDescent="0.2">
      <c r="J302" s="206"/>
      <c r="K302" s="28"/>
      <c r="L302" s="28"/>
      <c r="M302" s="28"/>
      <c r="N302" s="28"/>
    </row>
    <row r="303" spans="10:14" x14ac:dyDescent="0.2">
      <c r="J303" s="206"/>
      <c r="K303" s="28"/>
      <c r="L303" s="28"/>
      <c r="M303" s="28"/>
      <c r="N303" s="28"/>
    </row>
    <row r="304" spans="10:14" x14ac:dyDescent="0.2">
      <c r="J304" s="206"/>
      <c r="K304" s="28"/>
      <c r="L304" s="28"/>
      <c r="M304" s="28"/>
      <c r="N304" s="28"/>
    </row>
    <row r="305" spans="10:14" x14ac:dyDescent="0.2">
      <c r="J305" s="206"/>
      <c r="K305" s="28"/>
      <c r="L305" s="28"/>
      <c r="M305" s="28"/>
      <c r="N305" s="28"/>
    </row>
    <row r="306" spans="10:14" x14ac:dyDescent="0.2">
      <c r="J306" s="206"/>
      <c r="K306" s="28"/>
      <c r="L306" s="28"/>
      <c r="M306" s="28"/>
      <c r="N306" s="28"/>
    </row>
    <row r="307" spans="10:14" x14ac:dyDescent="0.2">
      <c r="J307" s="206"/>
      <c r="K307" s="28"/>
      <c r="L307" s="28"/>
      <c r="M307" s="28"/>
      <c r="N307" s="28"/>
    </row>
    <row r="308" spans="10:14" x14ac:dyDescent="0.2">
      <c r="J308" s="206"/>
      <c r="K308" s="28"/>
      <c r="L308" s="28"/>
      <c r="M308" s="28"/>
      <c r="N308" s="28"/>
    </row>
    <row r="309" spans="10:14" x14ac:dyDescent="0.2">
      <c r="J309" s="206"/>
      <c r="K309" s="28"/>
      <c r="L309" s="28"/>
      <c r="M309" s="28"/>
      <c r="N309" s="28"/>
    </row>
    <row r="310" spans="10:14" x14ac:dyDescent="0.2">
      <c r="J310" s="206"/>
      <c r="K310" s="28"/>
      <c r="L310" s="28"/>
      <c r="M310" s="28"/>
      <c r="N310" s="28"/>
    </row>
    <row r="311" spans="10:14" x14ac:dyDescent="0.2">
      <c r="J311" s="206"/>
      <c r="K311" s="28"/>
      <c r="L311" s="28"/>
      <c r="M311" s="28"/>
      <c r="N311" s="28"/>
    </row>
    <row r="312" spans="10:14" x14ac:dyDescent="0.2">
      <c r="J312" s="206"/>
      <c r="K312" s="28"/>
      <c r="L312" s="28"/>
      <c r="M312" s="28"/>
      <c r="N312" s="28"/>
    </row>
    <row r="313" spans="10:14" x14ac:dyDescent="0.2">
      <c r="J313" s="206"/>
      <c r="K313" s="28"/>
      <c r="L313" s="28"/>
      <c r="M313" s="28"/>
      <c r="N313" s="28"/>
    </row>
    <row r="314" spans="10:14" x14ac:dyDescent="0.2">
      <c r="J314" s="206"/>
      <c r="K314" s="28"/>
      <c r="L314" s="28"/>
      <c r="M314" s="28"/>
      <c r="N314" s="28"/>
    </row>
    <row r="315" spans="10:14" x14ac:dyDescent="0.2">
      <c r="J315" s="206"/>
      <c r="K315" s="28"/>
      <c r="L315" s="28"/>
      <c r="M315" s="28"/>
      <c r="N315" s="28"/>
    </row>
    <row r="316" spans="10:14" x14ac:dyDescent="0.2">
      <c r="J316" s="206"/>
      <c r="K316" s="28"/>
      <c r="L316" s="28"/>
      <c r="M316" s="28"/>
      <c r="N316" s="28"/>
    </row>
    <row r="317" spans="10:14" x14ac:dyDescent="0.2">
      <c r="J317" s="206"/>
      <c r="K317" s="28"/>
      <c r="L317" s="28"/>
      <c r="M317" s="28"/>
      <c r="N317" s="28"/>
    </row>
    <row r="318" spans="10:14" x14ac:dyDescent="0.2">
      <c r="J318" s="206"/>
      <c r="K318" s="28"/>
      <c r="L318" s="28"/>
      <c r="M318" s="28"/>
      <c r="N318" s="28"/>
    </row>
    <row r="319" spans="10:14" x14ac:dyDescent="0.2">
      <c r="J319" s="206"/>
      <c r="K319" s="28"/>
      <c r="L319" s="28"/>
      <c r="M319" s="28"/>
      <c r="N319" s="28"/>
    </row>
    <row r="320" spans="10:14" x14ac:dyDescent="0.2">
      <c r="J320" s="206"/>
      <c r="K320" s="28"/>
      <c r="L320" s="28"/>
      <c r="M320" s="28"/>
      <c r="N320" s="28"/>
    </row>
    <row r="321" spans="10:14" x14ac:dyDescent="0.2">
      <c r="J321" s="206"/>
      <c r="K321" s="28"/>
      <c r="L321" s="28"/>
      <c r="M321" s="28"/>
      <c r="N321" s="28"/>
    </row>
    <row r="322" spans="10:14" x14ac:dyDescent="0.2">
      <c r="J322" s="206"/>
      <c r="K322" s="28"/>
      <c r="L322" s="28"/>
      <c r="M322" s="28"/>
      <c r="N322" s="28"/>
    </row>
    <row r="323" spans="10:14" x14ac:dyDescent="0.2">
      <c r="J323" s="206"/>
      <c r="K323" s="28"/>
      <c r="L323" s="28"/>
      <c r="M323" s="28"/>
      <c r="N323" s="28"/>
    </row>
    <row r="324" spans="10:14" x14ac:dyDescent="0.2">
      <c r="J324" s="206"/>
      <c r="K324" s="28"/>
      <c r="L324" s="28"/>
      <c r="M324" s="28"/>
      <c r="N324" s="28"/>
    </row>
    <row r="325" spans="10:14" x14ac:dyDescent="0.2">
      <c r="J325" s="206"/>
      <c r="K325" s="28"/>
      <c r="L325" s="28"/>
      <c r="M325" s="28"/>
      <c r="N325" s="28"/>
    </row>
    <row r="326" spans="10:14" x14ac:dyDescent="0.2">
      <c r="J326" s="206"/>
      <c r="K326" s="28"/>
      <c r="L326" s="28"/>
      <c r="M326" s="28"/>
      <c r="N326" s="28"/>
    </row>
    <row r="327" spans="10:14" x14ac:dyDescent="0.2">
      <c r="J327" s="206"/>
      <c r="K327" s="28"/>
      <c r="L327" s="28"/>
      <c r="M327" s="28"/>
      <c r="N327" s="28"/>
    </row>
    <row r="328" spans="10:14" x14ac:dyDescent="0.2">
      <c r="J328" s="206"/>
      <c r="K328" s="28"/>
      <c r="L328" s="28"/>
      <c r="M328" s="28"/>
      <c r="N328" s="28"/>
    </row>
    <row r="329" spans="10:14" x14ac:dyDescent="0.2">
      <c r="J329" s="206"/>
      <c r="K329" s="28"/>
      <c r="L329" s="28"/>
      <c r="M329" s="28"/>
      <c r="N329" s="28"/>
    </row>
    <row r="330" spans="10:14" x14ac:dyDescent="0.2">
      <c r="J330" s="206"/>
      <c r="K330" s="28"/>
      <c r="L330" s="28"/>
      <c r="M330" s="28"/>
      <c r="N330" s="28"/>
    </row>
    <row r="331" spans="10:14" x14ac:dyDescent="0.2">
      <c r="J331" s="206"/>
      <c r="K331" s="28"/>
      <c r="L331" s="28"/>
      <c r="M331" s="28"/>
      <c r="N331" s="28"/>
    </row>
    <row r="332" spans="10:14" x14ac:dyDescent="0.2">
      <c r="J332" s="206"/>
      <c r="K332" s="28"/>
      <c r="L332" s="28"/>
      <c r="M332" s="28"/>
      <c r="N332" s="28"/>
    </row>
    <row r="333" spans="10:14" x14ac:dyDescent="0.2">
      <c r="J333" s="206"/>
      <c r="K333" s="28"/>
      <c r="L333" s="28"/>
      <c r="M333" s="28"/>
      <c r="N333" s="28"/>
    </row>
    <row r="334" spans="10:14" x14ac:dyDescent="0.2">
      <c r="J334" s="206"/>
      <c r="K334" s="28"/>
      <c r="L334" s="28"/>
      <c r="M334" s="28"/>
      <c r="N334" s="28"/>
    </row>
    <row r="335" spans="10:14" x14ac:dyDescent="0.2">
      <c r="J335" s="206"/>
      <c r="K335" s="28"/>
      <c r="L335" s="28"/>
      <c r="M335" s="28"/>
      <c r="N335" s="28"/>
    </row>
    <row r="336" spans="10:14" x14ac:dyDescent="0.2">
      <c r="J336" s="206"/>
      <c r="K336" s="28"/>
      <c r="L336" s="28"/>
      <c r="M336" s="28"/>
      <c r="N336" s="28"/>
    </row>
    <row r="337" spans="10:14" x14ac:dyDescent="0.2">
      <c r="J337" s="206"/>
      <c r="K337" s="28"/>
      <c r="L337" s="28"/>
      <c r="M337" s="28"/>
      <c r="N337" s="28"/>
    </row>
    <row r="338" spans="10:14" x14ac:dyDescent="0.2">
      <c r="J338" s="206"/>
      <c r="K338" s="28"/>
      <c r="L338" s="28"/>
      <c r="M338" s="28"/>
      <c r="N338" s="28"/>
    </row>
    <row r="339" spans="10:14" x14ac:dyDescent="0.2">
      <c r="J339" s="206"/>
      <c r="K339" s="28"/>
      <c r="L339" s="28"/>
      <c r="M339" s="28"/>
      <c r="N339" s="28"/>
    </row>
    <row r="340" spans="10:14" x14ac:dyDescent="0.2">
      <c r="J340" s="206"/>
      <c r="K340" s="28"/>
      <c r="L340" s="28"/>
      <c r="M340" s="28"/>
      <c r="N340" s="28"/>
    </row>
    <row r="341" spans="10:14" x14ac:dyDescent="0.2">
      <c r="J341" s="206"/>
      <c r="K341" s="28"/>
      <c r="L341" s="28"/>
      <c r="M341" s="28"/>
      <c r="N341" s="28"/>
    </row>
    <row r="342" spans="10:14" x14ac:dyDescent="0.2">
      <c r="J342" s="206"/>
      <c r="K342" s="28"/>
      <c r="L342" s="28"/>
      <c r="M342" s="28"/>
      <c r="N342" s="28"/>
    </row>
    <row r="343" spans="10:14" x14ac:dyDescent="0.2">
      <c r="J343" s="206"/>
      <c r="K343" s="28"/>
      <c r="L343" s="28"/>
      <c r="M343" s="28"/>
      <c r="N343" s="28"/>
    </row>
    <row r="344" spans="10:14" x14ac:dyDescent="0.2">
      <c r="J344" s="206"/>
      <c r="K344" s="28"/>
      <c r="L344" s="28"/>
      <c r="M344" s="28"/>
      <c r="N344" s="28"/>
    </row>
    <row r="345" spans="10:14" x14ac:dyDescent="0.2">
      <c r="J345" s="206"/>
      <c r="K345" s="28"/>
      <c r="L345" s="28"/>
      <c r="M345" s="28"/>
      <c r="N345" s="28"/>
    </row>
    <row r="346" spans="10:14" x14ac:dyDescent="0.2">
      <c r="J346" s="206"/>
      <c r="K346" s="28"/>
      <c r="L346" s="28"/>
      <c r="M346" s="28"/>
      <c r="N346" s="28"/>
    </row>
    <row r="347" spans="10:14" x14ac:dyDescent="0.2">
      <c r="J347" s="206"/>
      <c r="K347" s="28"/>
      <c r="L347" s="28"/>
      <c r="M347" s="28"/>
      <c r="N347" s="28"/>
    </row>
    <row r="348" spans="10:14" x14ac:dyDescent="0.2">
      <c r="J348" s="206"/>
      <c r="K348" s="28"/>
      <c r="L348" s="28"/>
      <c r="M348" s="28"/>
      <c r="N348" s="28"/>
    </row>
    <row r="349" spans="10:14" x14ac:dyDescent="0.2">
      <c r="J349" s="206"/>
      <c r="K349" s="28"/>
      <c r="L349" s="28"/>
      <c r="M349" s="28"/>
      <c r="N349" s="28"/>
    </row>
    <row r="350" spans="10:14" x14ac:dyDescent="0.2">
      <c r="J350" s="206"/>
      <c r="K350" s="28"/>
      <c r="L350" s="28"/>
      <c r="M350" s="28"/>
      <c r="N350" s="28"/>
    </row>
    <row r="351" spans="10:14" x14ac:dyDescent="0.2">
      <c r="J351" s="206"/>
      <c r="K351" s="28"/>
      <c r="L351" s="28"/>
      <c r="M351" s="28"/>
      <c r="N351" s="28"/>
    </row>
    <row r="352" spans="10:14" x14ac:dyDescent="0.2">
      <c r="J352" s="206"/>
      <c r="K352" s="28"/>
      <c r="L352" s="28"/>
      <c r="M352" s="28"/>
      <c r="N352" s="28"/>
    </row>
    <row r="353" spans="10:14" x14ac:dyDescent="0.2">
      <c r="J353" s="206"/>
      <c r="K353" s="28"/>
      <c r="L353" s="28"/>
      <c r="M353" s="28"/>
      <c r="N353" s="28"/>
    </row>
    <row r="354" spans="10:14" x14ac:dyDescent="0.2">
      <c r="J354" s="206"/>
      <c r="K354" s="28"/>
      <c r="L354" s="28"/>
      <c r="M354" s="28"/>
      <c r="N354" s="28"/>
    </row>
    <row r="355" spans="10:14" x14ac:dyDescent="0.2">
      <c r="J355" s="206"/>
      <c r="K355" s="28"/>
      <c r="L355" s="28"/>
      <c r="M355" s="28"/>
      <c r="N355" s="28"/>
    </row>
    <row r="356" spans="10:14" x14ac:dyDescent="0.2">
      <c r="J356" s="206"/>
      <c r="K356" s="28"/>
      <c r="L356" s="28"/>
      <c r="M356" s="28"/>
      <c r="N356" s="28"/>
    </row>
    <row r="357" spans="10:14" x14ac:dyDescent="0.2">
      <c r="J357" s="206"/>
      <c r="K357" s="28"/>
      <c r="L357" s="28"/>
      <c r="M357" s="28"/>
      <c r="N357" s="28"/>
    </row>
    <row r="358" spans="10:14" x14ac:dyDescent="0.2">
      <c r="J358" s="206"/>
      <c r="K358" s="28"/>
      <c r="L358" s="28"/>
      <c r="M358" s="28"/>
      <c r="N358" s="28"/>
    </row>
    <row r="359" spans="10:14" x14ac:dyDescent="0.2">
      <c r="J359" s="206"/>
      <c r="K359" s="28"/>
      <c r="L359" s="28"/>
      <c r="M359" s="28"/>
      <c r="N359" s="28"/>
    </row>
    <row r="360" spans="10:14" x14ac:dyDescent="0.2">
      <c r="J360" s="206"/>
      <c r="K360" s="28"/>
      <c r="L360" s="28"/>
      <c r="M360" s="28"/>
      <c r="N360" s="28"/>
    </row>
    <row r="361" spans="10:14" x14ac:dyDescent="0.2">
      <c r="J361" s="206"/>
      <c r="K361" s="28"/>
      <c r="L361" s="28"/>
      <c r="M361" s="28"/>
      <c r="N361" s="28"/>
    </row>
    <row r="362" spans="10:14" x14ac:dyDescent="0.2">
      <c r="J362" s="206"/>
      <c r="K362" s="28"/>
      <c r="L362" s="28"/>
      <c r="M362" s="28"/>
      <c r="N362" s="28"/>
    </row>
    <row r="363" spans="10:14" x14ac:dyDescent="0.2">
      <c r="J363" s="206"/>
      <c r="K363" s="28"/>
      <c r="L363" s="28"/>
      <c r="M363" s="28"/>
      <c r="N363" s="28"/>
    </row>
    <row r="364" spans="10:14" x14ac:dyDescent="0.2">
      <c r="J364" s="206"/>
      <c r="K364" s="28"/>
      <c r="L364" s="28"/>
      <c r="M364" s="28"/>
      <c r="N364" s="28"/>
    </row>
    <row r="365" spans="10:14" x14ac:dyDescent="0.2">
      <c r="J365" s="206"/>
      <c r="K365" s="28"/>
      <c r="L365" s="28"/>
      <c r="M365" s="28"/>
      <c r="N365" s="28"/>
    </row>
    <row r="366" spans="10:14" x14ac:dyDescent="0.2">
      <c r="J366" s="206"/>
      <c r="K366" s="28"/>
      <c r="L366" s="28"/>
      <c r="M366" s="28"/>
      <c r="N366" s="28"/>
    </row>
    <row r="367" spans="10:14" x14ac:dyDescent="0.2">
      <c r="J367" s="206"/>
      <c r="K367" s="28"/>
      <c r="L367" s="28"/>
      <c r="M367" s="28"/>
      <c r="N367" s="28"/>
    </row>
    <row r="368" spans="10:14" x14ac:dyDescent="0.2">
      <c r="J368" s="206"/>
      <c r="K368" s="28"/>
      <c r="L368" s="28"/>
      <c r="M368" s="28"/>
      <c r="N368" s="28"/>
    </row>
    <row r="369" spans="10:14" x14ac:dyDescent="0.2">
      <c r="J369" s="206"/>
      <c r="K369" s="28"/>
      <c r="L369" s="28"/>
      <c r="M369" s="28"/>
      <c r="N369" s="28"/>
    </row>
    <row r="370" spans="10:14" x14ac:dyDescent="0.2">
      <c r="J370" s="206"/>
      <c r="K370" s="28"/>
      <c r="L370" s="28"/>
      <c r="M370" s="28"/>
      <c r="N370" s="28"/>
    </row>
    <row r="371" spans="10:14" x14ac:dyDescent="0.2">
      <c r="J371" s="206"/>
      <c r="K371" s="28"/>
      <c r="L371" s="28"/>
      <c r="M371" s="28"/>
      <c r="N371" s="28"/>
    </row>
    <row r="372" spans="10:14" x14ac:dyDescent="0.2">
      <c r="J372" s="206"/>
      <c r="K372" s="28"/>
      <c r="L372" s="28"/>
      <c r="M372" s="28"/>
      <c r="N372" s="28"/>
    </row>
    <row r="373" spans="10:14" x14ac:dyDescent="0.2">
      <c r="J373" s="206"/>
      <c r="K373" s="28"/>
      <c r="L373" s="28"/>
      <c r="M373" s="28"/>
      <c r="N373" s="28"/>
    </row>
    <row r="374" spans="10:14" x14ac:dyDescent="0.2">
      <c r="J374" s="206"/>
      <c r="K374" s="28"/>
      <c r="L374" s="28"/>
      <c r="M374" s="28"/>
      <c r="N374" s="28"/>
    </row>
    <row r="375" spans="10:14" x14ac:dyDescent="0.2">
      <c r="J375" s="206"/>
      <c r="K375" s="28"/>
      <c r="L375" s="28"/>
      <c r="M375" s="28"/>
      <c r="N375" s="28"/>
    </row>
    <row r="376" spans="10:14" x14ac:dyDescent="0.2">
      <c r="J376" s="206"/>
      <c r="K376" s="28"/>
      <c r="L376" s="28"/>
      <c r="M376" s="28"/>
      <c r="N376" s="28"/>
    </row>
    <row r="377" spans="10:14" x14ac:dyDescent="0.2">
      <c r="J377" s="206"/>
      <c r="K377" s="28"/>
      <c r="L377" s="28"/>
      <c r="M377" s="28"/>
      <c r="N377" s="28"/>
    </row>
    <row r="378" spans="10:14" x14ac:dyDescent="0.2">
      <c r="J378" s="206"/>
      <c r="K378" s="28"/>
      <c r="L378" s="28"/>
      <c r="M378" s="28"/>
      <c r="N378" s="28"/>
    </row>
    <row r="379" spans="10:14" x14ac:dyDescent="0.2">
      <c r="J379" s="206"/>
      <c r="K379" s="28"/>
      <c r="L379" s="28"/>
      <c r="M379" s="28"/>
      <c r="N379" s="28"/>
    </row>
    <row r="380" spans="10:14" x14ac:dyDescent="0.2">
      <c r="J380" s="206"/>
      <c r="K380" s="28"/>
      <c r="L380" s="28"/>
      <c r="M380" s="28"/>
      <c r="N380" s="28"/>
    </row>
    <row r="381" spans="10:14" x14ac:dyDescent="0.2">
      <c r="J381" s="206"/>
      <c r="K381" s="28"/>
      <c r="L381" s="28"/>
      <c r="M381" s="28"/>
      <c r="N381" s="28"/>
    </row>
    <row r="382" spans="10:14" x14ac:dyDescent="0.2">
      <c r="J382" s="206"/>
      <c r="K382" s="28"/>
      <c r="L382" s="28"/>
      <c r="M382" s="28"/>
      <c r="N382" s="28"/>
    </row>
    <row r="383" spans="10:14" x14ac:dyDescent="0.2">
      <c r="J383" s="206"/>
      <c r="K383" s="28"/>
      <c r="L383" s="28"/>
      <c r="M383" s="28"/>
      <c r="N383" s="28"/>
    </row>
    <row r="384" spans="10:14" x14ac:dyDescent="0.2">
      <c r="J384" s="206"/>
      <c r="K384" s="28"/>
      <c r="L384" s="28"/>
      <c r="M384" s="28"/>
      <c r="N384" s="28"/>
    </row>
    <row r="385" spans="10:14" x14ac:dyDescent="0.2">
      <c r="J385" s="206"/>
      <c r="K385" s="28"/>
      <c r="L385" s="28"/>
      <c r="M385" s="28"/>
      <c r="N385" s="28"/>
    </row>
    <row r="386" spans="10:14" x14ac:dyDescent="0.2">
      <c r="J386" s="206"/>
      <c r="K386" s="28"/>
      <c r="L386" s="28"/>
      <c r="M386" s="28"/>
      <c r="N386" s="28"/>
    </row>
    <row r="387" spans="10:14" x14ac:dyDescent="0.2">
      <c r="J387" s="206"/>
      <c r="K387" s="28"/>
      <c r="L387" s="28"/>
      <c r="M387" s="28"/>
      <c r="N387" s="28"/>
    </row>
    <row r="388" spans="10:14" x14ac:dyDescent="0.2">
      <c r="J388" s="206"/>
      <c r="K388" s="28"/>
      <c r="L388" s="28"/>
      <c r="M388" s="28"/>
      <c r="N388" s="28"/>
    </row>
    <row r="389" spans="10:14" x14ac:dyDescent="0.2">
      <c r="J389" s="206"/>
      <c r="K389" s="28"/>
      <c r="L389" s="28"/>
      <c r="M389" s="28"/>
      <c r="N389" s="28"/>
    </row>
    <row r="390" spans="10:14" x14ac:dyDescent="0.2">
      <c r="J390" s="206"/>
      <c r="K390" s="28"/>
      <c r="L390" s="28"/>
      <c r="M390" s="28"/>
      <c r="N390" s="28"/>
    </row>
    <row r="391" spans="10:14" x14ac:dyDescent="0.2">
      <c r="J391" s="206"/>
      <c r="K391" s="28"/>
      <c r="L391" s="28"/>
      <c r="M391" s="28"/>
      <c r="N391" s="28"/>
    </row>
    <row r="392" spans="10:14" x14ac:dyDescent="0.2">
      <c r="J392" s="206"/>
      <c r="K392" s="28"/>
      <c r="L392" s="28"/>
      <c r="M392" s="28"/>
      <c r="N392" s="28"/>
    </row>
    <row r="393" spans="10:14" x14ac:dyDescent="0.2">
      <c r="J393" s="206"/>
      <c r="K393" s="28"/>
      <c r="L393" s="28"/>
      <c r="M393" s="28"/>
      <c r="N393" s="28"/>
    </row>
    <row r="394" spans="10:14" x14ac:dyDescent="0.2">
      <c r="J394" s="206"/>
      <c r="K394" s="28"/>
      <c r="L394" s="28"/>
      <c r="M394" s="28"/>
      <c r="N394" s="28"/>
    </row>
    <row r="395" spans="10:14" x14ac:dyDescent="0.2">
      <c r="J395" s="206"/>
      <c r="K395" s="28"/>
      <c r="L395" s="28"/>
      <c r="M395" s="28"/>
      <c r="N395" s="28"/>
    </row>
    <row r="396" spans="10:14" x14ac:dyDescent="0.2">
      <c r="J396" s="206"/>
      <c r="K396" s="28"/>
      <c r="L396" s="28"/>
      <c r="M396" s="28"/>
      <c r="N396" s="28"/>
    </row>
    <row r="397" spans="10:14" x14ac:dyDescent="0.2">
      <c r="J397" s="206"/>
      <c r="K397" s="28"/>
      <c r="L397" s="28"/>
      <c r="M397" s="28"/>
      <c r="N397" s="28"/>
    </row>
    <row r="398" spans="10:14" x14ac:dyDescent="0.2">
      <c r="J398" s="206"/>
      <c r="K398" s="28"/>
      <c r="L398" s="28"/>
      <c r="M398" s="28"/>
      <c r="N398" s="28"/>
    </row>
    <row r="399" spans="10:14" x14ac:dyDescent="0.2">
      <c r="J399" s="206"/>
      <c r="K399" s="28"/>
      <c r="L399" s="28"/>
      <c r="M399" s="28"/>
      <c r="N399" s="28"/>
    </row>
    <row r="400" spans="10:14" x14ac:dyDescent="0.2">
      <c r="J400" s="206"/>
      <c r="K400" s="28"/>
      <c r="L400" s="28"/>
      <c r="M400" s="28"/>
      <c r="N400" s="28"/>
    </row>
    <row r="401" spans="10:14" x14ac:dyDescent="0.2">
      <c r="J401" s="206"/>
      <c r="K401" s="28"/>
      <c r="L401" s="28"/>
      <c r="M401" s="28"/>
      <c r="N401" s="28"/>
    </row>
    <row r="402" spans="10:14" x14ac:dyDescent="0.2">
      <c r="J402" s="206"/>
      <c r="K402" s="28"/>
      <c r="L402" s="28"/>
      <c r="M402" s="28"/>
      <c r="N402" s="28"/>
    </row>
    <row r="403" spans="10:14" x14ac:dyDescent="0.2">
      <c r="J403" s="206"/>
      <c r="K403" s="28"/>
      <c r="L403" s="28"/>
      <c r="M403" s="28"/>
      <c r="N403" s="28"/>
    </row>
    <row r="404" spans="10:14" x14ac:dyDescent="0.2">
      <c r="J404" s="206"/>
      <c r="K404" s="28"/>
      <c r="L404" s="28"/>
      <c r="M404" s="28"/>
      <c r="N404" s="28"/>
    </row>
    <row r="405" spans="10:14" x14ac:dyDescent="0.2">
      <c r="J405" s="206"/>
      <c r="K405" s="28"/>
      <c r="L405" s="28"/>
      <c r="M405" s="28"/>
      <c r="N405" s="28"/>
    </row>
    <row r="406" spans="10:14" x14ac:dyDescent="0.2">
      <c r="J406" s="206"/>
      <c r="K406" s="28"/>
      <c r="L406" s="28"/>
      <c r="M406" s="28"/>
      <c r="N406" s="28"/>
    </row>
    <row r="407" spans="10:14" x14ac:dyDescent="0.2">
      <c r="J407" s="206"/>
      <c r="K407" s="28"/>
      <c r="L407" s="28"/>
      <c r="M407" s="28"/>
      <c r="N407" s="28"/>
    </row>
    <row r="408" spans="10:14" x14ac:dyDescent="0.2">
      <c r="J408" s="206"/>
      <c r="K408" s="28"/>
      <c r="L408" s="28"/>
      <c r="M408" s="28"/>
      <c r="N408" s="28"/>
    </row>
    <row r="409" spans="10:14" x14ac:dyDescent="0.2">
      <c r="J409" s="206"/>
      <c r="K409" s="28"/>
      <c r="L409" s="28"/>
      <c r="M409" s="28"/>
      <c r="N409" s="28"/>
    </row>
    <row r="410" spans="10:14" x14ac:dyDescent="0.2">
      <c r="J410" s="206"/>
      <c r="K410" s="28"/>
      <c r="L410" s="28"/>
      <c r="M410" s="28"/>
      <c r="N410" s="28"/>
    </row>
    <row r="411" spans="10:14" x14ac:dyDescent="0.2">
      <c r="J411" s="206"/>
      <c r="K411" s="28"/>
      <c r="L411" s="28"/>
      <c r="M411" s="28"/>
      <c r="N411" s="28"/>
    </row>
    <row r="412" spans="10:14" x14ac:dyDescent="0.2">
      <c r="J412" s="206"/>
      <c r="K412" s="28"/>
      <c r="L412" s="28"/>
      <c r="M412" s="28"/>
      <c r="N412" s="28"/>
    </row>
    <row r="413" spans="10:14" x14ac:dyDescent="0.2">
      <c r="J413" s="206"/>
      <c r="K413" s="28"/>
      <c r="L413" s="28"/>
      <c r="M413" s="28"/>
      <c r="N413" s="28"/>
    </row>
    <row r="414" spans="10:14" x14ac:dyDescent="0.2">
      <c r="J414" s="206"/>
      <c r="K414" s="28"/>
      <c r="L414" s="28"/>
      <c r="M414" s="28"/>
      <c r="N414" s="28"/>
    </row>
    <row r="415" spans="10:14" x14ac:dyDescent="0.2">
      <c r="J415" s="206"/>
      <c r="K415" s="28"/>
      <c r="L415" s="28"/>
      <c r="M415" s="28"/>
      <c r="N415" s="28"/>
    </row>
    <row r="416" spans="10:14" x14ac:dyDescent="0.2">
      <c r="J416" s="206"/>
      <c r="K416" s="28"/>
      <c r="L416" s="28"/>
      <c r="M416" s="28"/>
      <c r="N416" s="28"/>
    </row>
    <row r="417" spans="10:14" x14ac:dyDescent="0.2">
      <c r="J417" s="206"/>
      <c r="K417" s="28"/>
      <c r="L417" s="28"/>
      <c r="M417" s="28"/>
      <c r="N417" s="28"/>
    </row>
    <row r="418" spans="10:14" x14ac:dyDescent="0.2">
      <c r="J418" s="206"/>
      <c r="K418" s="28"/>
      <c r="L418" s="28"/>
      <c r="M418" s="28"/>
      <c r="N418" s="28"/>
    </row>
    <row r="419" spans="10:14" x14ac:dyDescent="0.2">
      <c r="J419" s="206"/>
      <c r="K419" s="28"/>
      <c r="L419" s="28"/>
      <c r="M419" s="28"/>
      <c r="N419" s="28"/>
    </row>
    <row r="420" spans="10:14" x14ac:dyDescent="0.2">
      <c r="J420" s="206"/>
      <c r="K420" s="28"/>
      <c r="L420" s="28"/>
      <c r="M420" s="28"/>
      <c r="N420" s="28"/>
    </row>
    <row r="421" spans="10:14" x14ac:dyDescent="0.2">
      <c r="J421" s="206"/>
      <c r="K421" s="28"/>
      <c r="L421" s="28"/>
      <c r="M421" s="28"/>
      <c r="N421" s="28"/>
    </row>
    <row r="422" spans="10:14" x14ac:dyDescent="0.2">
      <c r="J422" s="206"/>
      <c r="K422" s="28"/>
      <c r="L422" s="28"/>
      <c r="M422" s="28"/>
      <c r="N422" s="28"/>
    </row>
    <row r="423" spans="10:14" x14ac:dyDescent="0.2">
      <c r="J423" s="206"/>
      <c r="K423" s="28"/>
      <c r="L423" s="28"/>
      <c r="M423" s="28"/>
      <c r="N423" s="28"/>
    </row>
    <row r="424" spans="10:14" x14ac:dyDescent="0.2">
      <c r="J424" s="206"/>
      <c r="K424" s="28"/>
      <c r="L424" s="28"/>
      <c r="M424" s="28"/>
      <c r="N424" s="28"/>
    </row>
    <row r="425" spans="10:14" x14ac:dyDescent="0.2">
      <c r="J425" s="206"/>
      <c r="K425" s="28"/>
      <c r="L425" s="28"/>
      <c r="M425" s="28"/>
      <c r="N425" s="28"/>
    </row>
    <row r="426" spans="10:14" x14ac:dyDescent="0.2">
      <c r="J426" s="206"/>
      <c r="K426" s="28"/>
      <c r="L426" s="28"/>
      <c r="M426" s="28"/>
      <c r="N426" s="28"/>
    </row>
    <row r="427" spans="10:14" x14ac:dyDescent="0.2">
      <c r="J427" s="206"/>
      <c r="K427" s="28"/>
      <c r="L427" s="28"/>
      <c r="M427" s="28"/>
      <c r="N427" s="28"/>
    </row>
    <row r="428" spans="10:14" x14ac:dyDescent="0.2">
      <c r="J428" s="206"/>
      <c r="K428" s="28"/>
      <c r="L428" s="28"/>
      <c r="M428" s="28"/>
      <c r="N428" s="28"/>
    </row>
    <row r="429" spans="10:14" x14ac:dyDescent="0.2">
      <c r="J429" s="206"/>
      <c r="K429" s="28"/>
      <c r="L429" s="28"/>
      <c r="M429" s="28"/>
      <c r="N429" s="28"/>
    </row>
    <row r="430" spans="10:14" x14ac:dyDescent="0.2">
      <c r="J430" s="206"/>
      <c r="K430" s="28"/>
      <c r="L430" s="28"/>
      <c r="M430" s="28"/>
      <c r="N430" s="28"/>
    </row>
    <row r="431" spans="10:14" x14ac:dyDescent="0.2">
      <c r="J431" s="206"/>
      <c r="K431" s="28"/>
      <c r="L431" s="28"/>
      <c r="M431" s="28"/>
      <c r="N431" s="28"/>
    </row>
    <row r="432" spans="10:14" x14ac:dyDescent="0.2">
      <c r="J432" s="206"/>
      <c r="K432" s="28"/>
      <c r="L432" s="28"/>
      <c r="M432" s="28"/>
      <c r="N432" s="28"/>
    </row>
    <row r="433" spans="10:14" x14ac:dyDescent="0.2">
      <c r="J433" s="206"/>
      <c r="K433" s="28"/>
      <c r="L433" s="28"/>
      <c r="M433" s="28"/>
      <c r="N433" s="28"/>
    </row>
    <row r="434" spans="10:14" x14ac:dyDescent="0.2">
      <c r="J434" s="206"/>
      <c r="K434" s="28"/>
      <c r="L434" s="28"/>
      <c r="M434" s="28"/>
      <c r="N434" s="28"/>
    </row>
    <row r="435" spans="10:14" x14ac:dyDescent="0.2">
      <c r="J435" s="206"/>
      <c r="K435" s="28"/>
      <c r="L435" s="28"/>
      <c r="M435" s="28"/>
      <c r="N435" s="28"/>
    </row>
    <row r="436" spans="10:14" x14ac:dyDescent="0.2">
      <c r="J436" s="206"/>
      <c r="K436" s="28"/>
      <c r="L436" s="28"/>
      <c r="M436" s="28"/>
      <c r="N436" s="28"/>
    </row>
    <row r="437" spans="10:14" x14ac:dyDescent="0.2">
      <c r="J437" s="206"/>
      <c r="K437" s="28"/>
      <c r="L437" s="28"/>
      <c r="M437" s="28"/>
      <c r="N437" s="28"/>
    </row>
    <row r="438" spans="10:14" x14ac:dyDescent="0.2">
      <c r="J438" s="206"/>
      <c r="K438" s="28"/>
      <c r="L438" s="28"/>
      <c r="M438" s="28"/>
      <c r="N438" s="28"/>
    </row>
    <row r="439" spans="10:14" x14ac:dyDescent="0.2">
      <c r="J439" s="206"/>
      <c r="K439" s="28"/>
      <c r="L439" s="28"/>
      <c r="M439" s="28"/>
      <c r="N439" s="28"/>
    </row>
    <row r="440" spans="10:14" x14ac:dyDescent="0.2">
      <c r="J440" s="206"/>
      <c r="K440" s="28"/>
      <c r="L440" s="28"/>
      <c r="M440" s="28"/>
      <c r="N440" s="28"/>
    </row>
    <row r="441" spans="10:14" x14ac:dyDescent="0.2">
      <c r="J441" s="206"/>
      <c r="K441" s="28"/>
      <c r="L441" s="28"/>
      <c r="M441" s="28"/>
      <c r="N441" s="28"/>
    </row>
    <row r="442" spans="10:14" x14ac:dyDescent="0.2">
      <c r="J442" s="206"/>
      <c r="K442" s="28"/>
      <c r="L442" s="28"/>
      <c r="M442" s="28"/>
      <c r="N442" s="28"/>
    </row>
    <row r="443" spans="10:14" x14ac:dyDescent="0.2">
      <c r="J443" s="206"/>
      <c r="K443" s="28"/>
      <c r="L443" s="28"/>
      <c r="M443" s="28"/>
      <c r="N443" s="28"/>
    </row>
    <row r="444" spans="10:14" x14ac:dyDescent="0.2">
      <c r="J444" s="206"/>
      <c r="K444" s="28"/>
      <c r="L444" s="28"/>
      <c r="M444" s="28"/>
      <c r="N444" s="28"/>
    </row>
    <row r="445" spans="10:14" x14ac:dyDescent="0.2">
      <c r="J445" s="206"/>
      <c r="K445" s="28"/>
      <c r="L445" s="28"/>
      <c r="M445" s="28"/>
      <c r="N445" s="28"/>
    </row>
    <row r="446" spans="10:14" x14ac:dyDescent="0.2">
      <c r="J446" s="206"/>
      <c r="K446" s="28"/>
      <c r="L446" s="28"/>
      <c r="M446" s="28"/>
      <c r="N446" s="28"/>
    </row>
    <row r="447" spans="10:14" x14ac:dyDescent="0.2">
      <c r="J447" s="206"/>
      <c r="K447" s="28"/>
      <c r="L447" s="28"/>
      <c r="M447" s="28"/>
      <c r="N447" s="28"/>
    </row>
    <row r="448" spans="10:14" x14ac:dyDescent="0.2">
      <c r="J448" s="206"/>
      <c r="K448" s="28"/>
      <c r="L448" s="28"/>
      <c r="M448" s="28"/>
      <c r="N448" s="28"/>
    </row>
    <row r="449" spans="10:14" x14ac:dyDescent="0.2">
      <c r="J449" s="206"/>
      <c r="K449" s="28"/>
      <c r="L449" s="28"/>
      <c r="M449" s="28"/>
      <c r="N449" s="28"/>
    </row>
    <row r="450" spans="10:14" x14ac:dyDescent="0.2">
      <c r="J450" s="206"/>
      <c r="K450" s="28"/>
      <c r="L450" s="28"/>
      <c r="M450" s="28"/>
      <c r="N450" s="28"/>
    </row>
    <row r="451" spans="10:14" x14ac:dyDescent="0.2">
      <c r="J451" s="206"/>
      <c r="K451" s="28"/>
      <c r="L451" s="28"/>
      <c r="M451" s="28"/>
      <c r="N451" s="28"/>
    </row>
    <row r="452" spans="10:14" x14ac:dyDescent="0.2">
      <c r="J452" s="206"/>
      <c r="K452" s="28"/>
      <c r="L452" s="28"/>
      <c r="M452" s="28"/>
      <c r="N452" s="28"/>
    </row>
    <row r="453" spans="10:14" x14ac:dyDescent="0.2">
      <c r="J453" s="206"/>
      <c r="K453" s="28"/>
      <c r="L453" s="28"/>
      <c r="M453" s="28"/>
      <c r="N453" s="28"/>
    </row>
    <row r="454" spans="10:14" x14ac:dyDescent="0.2">
      <c r="J454" s="206"/>
      <c r="K454" s="28"/>
      <c r="L454" s="28"/>
      <c r="M454" s="28"/>
      <c r="N454" s="28"/>
    </row>
    <row r="455" spans="10:14" x14ac:dyDescent="0.2">
      <c r="J455" s="206"/>
      <c r="K455" s="28"/>
      <c r="L455" s="28"/>
      <c r="M455" s="28"/>
      <c r="N455" s="28"/>
    </row>
    <row r="456" spans="10:14" x14ac:dyDescent="0.2">
      <c r="J456" s="206"/>
      <c r="K456" s="28"/>
      <c r="L456" s="28"/>
      <c r="M456" s="28"/>
      <c r="N456" s="28"/>
    </row>
    <row r="457" spans="10:14" x14ac:dyDescent="0.2">
      <c r="J457" s="206"/>
      <c r="K457" s="28"/>
      <c r="L457" s="28"/>
      <c r="M457" s="28"/>
      <c r="N457" s="28"/>
    </row>
    <row r="458" spans="10:14" x14ac:dyDescent="0.2">
      <c r="J458" s="206"/>
      <c r="K458" s="28"/>
      <c r="L458" s="28"/>
      <c r="M458" s="28"/>
      <c r="N458" s="28"/>
    </row>
    <row r="459" spans="10:14" x14ac:dyDescent="0.2">
      <c r="J459" s="206"/>
      <c r="K459" s="28"/>
      <c r="L459" s="28"/>
      <c r="M459" s="28"/>
      <c r="N459" s="28"/>
    </row>
    <row r="460" spans="10:14" x14ac:dyDescent="0.2">
      <c r="J460" s="206"/>
      <c r="K460" s="28"/>
      <c r="L460" s="28"/>
      <c r="M460" s="28"/>
      <c r="N460" s="28"/>
    </row>
    <row r="461" spans="10:14" x14ac:dyDescent="0.2">
      <c r="J461" s="206"/>
      <c r="K461" s="28"/>
      <c r="L461" s="28"/>
      <c r="M461" s="28"/>
      <c r="N461" s="28"/>
    </row>
    <row r="462" spans="10:14" x14ac:dyDescent="0.2">
      <c r="J462" s="206"/>
      <c r="K462" s="28"/>
      <c r="L462" s="28"/>
      <c r="M462" s="28"/>
      <c r="N462" s="28"/>
    </row>
    <row r="463" spans="10:14" x14ac:dyDescent="0.2">
      <c r="J463" s="206"/>
      <c r="K463" s="28"/>
      <c r="L463" s="28"/>
      <c r="M463" s="28"/>
      <c r="N463" s="28"/>
    </row>
    <row r="464" spans="10:14" x14ac:dyDescent="0.2">
      <c r="J464" s="206"/>
      <c r="K464" s="28"/>
      <c r="L464" s="28"/>
      <c r="M464" s="28"/>
      <c r="N464" s="28"/>
    </row>
    <row r="465" spans="10:14" x14ac:dyDescent="0.2">
      <c r="J465" s="206"/>
      <c r="K465" s="28"/>
      <c r="L465" s="28"/>
      <c r="M465" s="28"/>
      <c r="N465" s="28"/>
    </row>
    <row r="466" spans="10:14" x14ac:dyDescent="0.2">
      <c r="J466" s="206"/>
      <c r="K466" s="28"/>
      <c r="L466" s="28"/>
      <c r="M466" s="28"/>
      <c r="N466" s="28"/>
    </row>
    <row r="467" spans="10:14" x14ac:dyDescent="0.2">
      <c r="J467" s="206"/>
      <c r="K467" s="28"/>
      <c r="L467" s="28"/>
      <c r="M467" s="28"/>
      <c r="N467" s="28"/>
    </row>
    <row r="468" spans="10:14" x14ac:dyDescent="0.2">
      <c r="J468" s="206"/>
      <c r="K468" s="28"/>
      <c r="L468" s="28"/>
      <c r="M468" s="28"/>
      <c r="N468" s="28"/>
    </row>
    <row r="469" spans="10:14" x14ac:dyDescent="0.2">
      <c r="J469" s="206"/>
      <c r="K469" s="28"/>
      <c r="L469" s="28"/>
      <c r="M469" s="28"/>
      <c r="N469" s="28"/>
    </row>
    <row r="470" spans="10:14" x14ac:dyDescent="0.2">
      <c r="J470" s="206"/>
      <c r="K470" s="28"/>
      <c r="L470" s="28"/>
      <c r="M470" s="28"/>
      <c r="N470" s="28"/>
    </row>
    <row r="471" spans="10:14" x14ac:dyDescent="0.2">
      <c r="J471" s="206"/>
      <c r="K471" s="28"/>
      <c r="L471" s="28"/>
      <c r="M471" s="28"/>
      <c r="N471" s="28"/>
    </row>
    <row r="472" spans="10:14" x14ac:dyDescent="0.2">
      <c r="J472" s="206"/>
      <c r="K472" s="28"/>
      <c r="L472" s="28"/>
      <c r="M472" s="28"/>
      <c r="N472" s="28"/>
    </row>
    <row r="473" spans="10:14" x14ac:dyDescent="0.2">
      <c r="J473" s="206"/>
      <c r="K473" s="28"/>
      <c r="L473" s="28"/>
      <c r="M473" s="28"/>
      <c r="N473" s="28"/>
    </row>
    <row r="474" spans="10:14" x14ac:dyDescent="0.2">
      <c r="J474" s="206"/>
      <c r="K474" s="28"/>
      <c r="L474" s="28"/>
      <c r="M474" s="28"/>
      <c r="N474" s="28"/>
    </row>
    <row r="475" spans="10:14" x14ac:dyDescent="0.2">
      <c r="J475" s="206"/>
      <c r="K475" s="28"/>
      <c r="L475" s="28"/>
      <c r="M475" s="28"/>
      <c r="N475" s="28"/>
    </row>
    <row r="476" spans="10:14" x14ac:dyDescent="0.2">
      <c r="J476" s="206"/>
      <c r="K476" s="28"/>
      <c r="L476" s="28"/>
      <c r="M476" s="28"/>
      <c r="N476" s="28"/>
    </row>
    <row r="477" spans="10:14" x14ac:dyDescent="0.2">
      <c r="J477" s="206"/>
      <c r="K477" s="28"/>
      <c r="L477" s="28"/>
      <c r="M477" s="28"/>
      <c r="N477" s="28"/>
    </row>
    <row r="478" spans="10:14" x14ac:dyDescent="0.2">
      <c r="J478" s="206"/>
      <c r="K478" s="28"/>
      <c r="L478" s="28"/>
      <c r="M478" s="28"/>
      <c r="N478" s="28"/>
    </row>
    <row r="479" spans="10:14" x14ac:dyDescent="0.2">
      <c r="J479" s="206"/>
      <c r="K479" s="28"/>
      <c r="L479" s="28"/>
      <c r="M479" s="28"/>
      <c r="N479" s="28"/>
    </row>
    <row r="480" spans="10:14" x14ac:dyDescent="0.2">
      <c r="J480" s="206"/>
      <c r="K480" s="28"/>
      <c r="L480" s="28"/>
      <c r="M480" s="28"/>
      <c r="N480" s="28"/>
    </row>
    <row r="481" spans="10:14" x14ac:dyDescent="0.2">
      <c r="J481" s="206"/>
      <c r="K481" s="28"/>
      <c r="L481" s="28"/>
      <c r="M481" s="28"/>
      <c r="N481" s="28"/>
    </row>
    <row r="482" spans="10:14" x14ac:dyDescent="0.2">
      <c r="J482" s="206"/>
      <c r="K482" s="28"/>
      <c r="L482" s="28"/>
      <c r="M482" s="28"/>
      <c r="N482" s="28"/>
    </row>
    <row r="483" spans="10:14" x14ac:dyDescent="0.2">
      <c r="J483" s="206"/>
      <c r="K483" s="28"/>
      <c r="L483" s="28"/>
      <c r="M483" s="28"/>
      <c r="N483" s="28"/>
    </row>
    <row r="484" spans="10:14" x14ac:dyDescent="0.2">
      <c r="J484" s="206"/>
      <c r="K484" s="28"/>
      <c r="L484" s="28"/>
      <c r="M484" s="28"/>
      <c r="N484" s="28"/>
    </row>
    <row r="485" spans="10:14" x14ac:dyDescent="0.2">
      <c r="J485" s="206"/>
      <c r="K485" s="28"/>
      <c r="L485" s="28"/>
      <c r="M485" s="28"/>
      <c r="N485" s="28"/>
    </row>
    <row r="486" spans="10:14" x14ac:dyDescent="0.2">
      <c r="J486" s="206"/>
      <c r="K486" s="28"/>
      <c r="L486" s="28"/>
      <c r="M486" s="28"/>
      <c r="N486" s="28"/>
    </row>
    <row r="487" spans="10:14" x14ac:dyDescent="0.2">
      <c r="J487" s="206"/>
      <c r="K487" s="28"/>
      <c r="L487" s="28"/>
      <c r="M487" s="28"/>
      <c r="N487" s="28"/>
    </row>
    <row r="488" spans="10:14" x14ac:dyDescent="0.2">
      <c r="J488" s="206"/>
      <c r="K488" s="28"/>
      <c r="L488" s="28"/>
      <c r="M488" s="28"/>
      <c r="N488" s="28"/>
    </row>
    <row r="489" spans="10:14" x14ac:dyDescent="0.2">
      <c r="J489" s="206"/>
      <c r="K489" s="28"/>
      <c r="L489" s="28"/>
      <c r="M489" s="28"/>
      <c r="N489" s="28"/>
    </row>
    <row r="490" spans="10:14" x14ac:dyDescent="0.2">
      <c r="J490" s="206"/>
      <c r="K490" s="28"/>
      <c r="L490" s="28"/>
      <c r="M490" s="28"/>
      <c r="N490" s="28"/>
    </row>
    <row r="491" spans="10:14" x14ac:dyDescent="0.2">
      <c r="J491" s="206"/>
      <c r="K491" s="28"/>
      <c r="L491" s="28"/>
      <c r="M491" s="28"/>
      <c r="N491" s="28"/>
    </row>
    <row r="492" spans="10:14" x14ac:dyDescent="0.2">
      <c r="J492" s="206"/>
      <c r="K492" s="28"/>
      <c r="L492" s="28"/>
      <c r="M492" s="28"/>
      <c r="N492" s="28"/>
    </row>
    <row r="493" spans="10:14" x14ac:dyDescent="0.2">
      <c r="J493" s="206"/>
      <c r="K493" s="28"/>
      <c r="L493" s="28"/>
      <c r="M493" s="28"/>
      <c r="N493" s="28"/>
    </row>
    <row r="494" spans="10:14" x14ac:dyDescent="0.2">
      <c r="J494" s="206"/>
      <c r="K494" s="28"/>
      <c r="L494" s="28"/>
      <c r="M494" s="28"/>
      <c r="N494" s="28"/>
    </row>
    <row r="495" spans="10:14" x14ac:dyDescent="0.2">
      <c r="J495" s="206"/>
      <c r="K495" s="28"/>
      <c r="L495" s="28"/>
      <c r="M495" s="28"/>
      <c r="N495" s="28"/>
    </row>
    <row r="496" spans="10:14" x14ac:dyDescent="0.2">
      <c r="J496" s="206"/>
      <c r="K496" s="28"/>
      <c r="L496" s="28"/>
      <c r="M496" s="28"/>
      <c r="N496" s="28"/>
    </row>
    <row r="497" spans="10:14" x14ac:dyDescent="0.2">
      <c r="J497" s="206"/>
      <c r="K497" s="28"/>
      <c r="L497" s="28"/>
      <c r="M497" s="28"/>
      <c r="N497" s="28"/>
    </row>
    <row r="498" spans="10:14" x14ac:dyDescent="0.2">
      <c r="J498" s="206"/>
      <c r="K498" s="28"/>
      <c r="L498" s="28"/>
      <c r="M498" s="28"/>
      <c r="N498" s="28"/>
    </row>
    <row r="499" spans="10:14" x14ac:dyDescent="0.2">
      <c r="J499" s="206"/>
      <c r="K499" s="28"/>
      <c r="L499" s="28"/>
      <c r="M499" s="28"/>
      <c r="N499" s="28"/>
    </row>
    <row r="500" spans="10:14" x14ac:dyDescent="0.2">
      <c r="J500" s="206"/>
      <c r="K500" s="28"/>
      <c r="L500" s="28"/>
      <c r="M500" s="28"/>
      <c r="N500" s="28"/>
    </row>
    <row r="501" spans="10:14" x14ac:dyDescent="0.2">
      <c r="J501" s="206"/>
      <c r="K501" s="28"/>
      <c r="L501" s="28"/>
      <c r="M501" s="28"/>
      <c r="N501" s="28"/>
    </row>
    <row r="502" spans="10:14" x14ac:dyDescent="0.2">
      <c r="J502" s="206"/>
      <c r="K502" s="28"/>
      <c r="L502" s="28"/>
      <c r="M502" s="28"/>
      <c r="N502" s="28"/>
    </row>
    <row r="503" spans="10:14" x14ac:dyDescent="0.2">
      <c r="J503" s="206"/>
      <c r="K503" s="28"/>
      <c r="L503" s="28"/>
      <c r="M503" s="28"/>
      <c r="N503" s="28"/>
    </row>
    <row r="504" spans="10:14" x14ac:dyDescent="0.2">
      <c r="J504" s="206"/>
      <c r="K504" s="28"/>
      <c r="L504" s="28"/>
      <c r="M504" s="28"/>
      <c r="N504" s="28"/>
    </row>
    <row r="505" spans="10:14" x14ac:dyDescent="0.2">
      <c r="J505" s="206"/>
      <c r="K505" s="28"/>
      <c r="L505" s="28"/>
      <c r="M505" s="28"/>
      <c r="N505" s="28"/>
    </row>
    <row r="506" spans="10:14" x14ac:dyDescent="0.2">
      <c r="J506" s="206"/>
      <c r="K506" s="28"/>
      <c r="L506" s="28"/>
      <c r="M506" s="28"/>
      <c r="N506" s="28"/>
    </row>
    <row r="507" spans="10:14" x14ac:dyDescent="0.2">
      <c r="J507" s="206"/>
      <c r="K507" s="28"/>
      <c r="L507" s="28"/>
      <c r="M507" s="28"/>
      <c r="N507" s="28"/>
    </row>
    <row r="508" spans="10:14" x14ac:dyDescent="0.2">
      <c r="J508" s="206"/>
      <c r="K508" s="28"/>
      <c r="L508" s="28"/>
      <c r="M508" s="28"/>
      <c r="N508" s="28"/>
    </row>
    <row r="509" spans="10:14" x14ac:dyDescent="0.2">
      <c r="J509" s="206"/>
      <c r="K509" s="28"/>
      <c r="L509" s="28"/>
      <c r="M509" s="28"/>
      <c r="N509" s="28"/>
    </row>
    <row r="510" spans="10:14" x14ac:dyDescent="0.2">
      <c r="J510" s="206"/>
      <c r="K510" s="28"/>
      <c r="L510" s="28"/>
      <c r="M510" s="28"/>
      <c r="N510" s="28"/>
    </row>
    <row r="511" spans="10:14" x14ac:dyDescent="0.2">
      <c r="J511" s="206"/>
      <c r="K511" s="28"/>
      <c r="L511" s="28"/>
      <c r="M511" s="28"/>
      <c r="N511" s="28"/>
    </row>
    <row r="512" spans="10:14" x14ac:dyDescent="0.2">
      <c r="J512" s="206"/>
      <c r="K512" s="28"/>
      <c r="L512" s="28"/>
      <c r="M512" s="28"/>
      <c r="N512" s="28"/>
    </row>
    <row r="513" spans="10:14" x14ac:dyDescent="0.2">
      <c r="J513" s="206"/>
      <c r="K513" s="28"/>
      <c r="L513" s="28"/>
      <c r="M513" s="28"/>
      <c r="N513" s="28"/>
    </row>
    <row r="514" spans="10:14" x14ac:dyDescent="0.2">
      <c r="J514" s="206"/>
      <c r="K514" s="28"/>
      <c r="L514" s="28"/>
      <c r="M514" s="28"/>
      <c r="N514" s="28"/>
    </row>
    <row r="515" spans="10:14" x14ac:dyDescent="0.2">
      <c r="J515" s="206"/>
      <c r="K515" s="28"/>
      <c r="L515" s="28"/>
      <c r="M515" s="28"/>
      <c r="N515" s="28"/>
    </row>
    <row r="516" spans="10:14" x14ac:dyDescent="0.2">
      <c r="J516" s="206"/>
      <c r="K516" s="28"/>
      <c r="L516" s="28"/>
      <c r="M516" s="28"/>
      <c r="N516" s="28"/>
    </row>
    <row r="517" spans="10:14" x14ac:dyDescent="0.2">
      <c r="J517" s="206"/>
      <c r="K517" s="28"/>
      <c r="L517" s="28"/>
      <c r="M517" s="28"/>
      <c r="N517" s="28"/>
    </row>
    <row r="518" spans="10:14" x14ac:dyDescent="0.2">
      <c r="J518" s="206"/>
      <c r="K518" s="28"/>
      <c r="L518" s="28"/>
      <c r="M518" s="28"/>
      <c r="N518" s="28"/>
    </row>
    <row r="519" spans="10:14" x14ac:dyDescent="0.2">
      <c r="J519" s="206"/>
      <c r="K519" s="28"/>
      <c r="L519" s="28"/>
      <c r="M519" s="28"/>
      <c r="N519" s="28"/>
    </row>
    <row r="520" spans="10:14" x14ac:dyDescent="0.2">
      <c r="J520" s="206"/>
      <c r="K520" s="28"/>
      <c r="L520" s="28"/>
      <c r="M520" s="28"/>
      <c r="N520" s="28"/>
    </row>
    <row r="521" spans="10:14" x14ac:dyDescent="0.2">
      <c r="J521" s="206"/>
      <c r="K521" s="28"/>
      <c r="L521" s="28"/>
      <c r="M521" s="28"/>
      <c r="N521" s="28"/>
    </row>
    <row r="522" spans="10:14" x14ac:dyDescent="0.2">
      <c r="J522" s="206"/>
      <c r="K522" s="28"/>
      <c r="L522" s="28"/>
      <c r="M522" s="28"/>
      <c r="N522" s="28"/>
    </row>
    <row r="523" spans="10:14" x14ac:dyDescent="0.2">
      <c r="J523" s="206"/>
      <c r="K523" s="28"/>
      <c r="L523" s="28"/>
      <c r="M523" s="28"/>
      <c r="N523" s="28"/>
    </row>
    <row r="524" spans="10:14" x14ac:dyDescent="0.2">
      <c r="J524" s="206"/>
      <c r="K524" s="28"/>
      <c r="L524" s="28"/>
      <c r="M524" s="28"/>
      <c r="N524" s="28"/>
    </row>
    <row r="525" spans="10:14" x14ac:dyDescent="0.2">
      <c r="J525" s="206"/>
      <c r="K525" s="28"/>
      <c r="L525" s="28"/>
      <c r="M525" s="28"/>
      <c r="N525" s="28"/>
    </row>
    <row r="526" spans="10:14" x14ac:dyDescent="0.2">
      <c r="J526" s="206"/>
      <c r="K526" s="28"/>
      <c r="L526" s="28"/>
      <c r="M526" s="28"/>
      <c r="N526" s="28"/>
    </row>
    <row r="527" spans="10:14" x14ac:dyDescent="0.2">
      <c r="J527" s="206"/>
      <c r="K527" s="28"/>
      <c r="L527" s="28"/>
      <c r="M527" s="28"/>
      <c r="N527" s="28"/>
    </row>
    <row r="528" spans="10:14" x14ac:dyDescent="0.2">
      <c r="J528" s="206"/>
      <c r="K528" s="28"/>
      <c r="L528" s="28"/>
      <c r="M528" s="28"/>
      <c r="N528" s="28"/>
    </row>
    <row r="529" spans="10:14" x14ac:dyDescent="0.2">
      <c r="J529" s="206"/>
      <c r="K529" s="28"/>
      <c r="L529" s="28"/>
      <c r="M529" s="28"/>
      <c r="N529" s="28"/>
    </row>
    <row r="530" spans="10:14" x14ac:dyDescent="0.2">
      <c r="J530" s="206"/>
      <c r="K530" s="28"/>
      <c r="L530" s="28"/>
      <c r="M530" s="28"/>
      <c r="N530" s="28"/>
    </row>
    <row r="531" spans="10:14" x14ac:dyDescent="0.2">
      <c r="J531" s="206"/>
      <c r="K531" s="28"/>
      <c r="L531" s="28"/>
      <c r="M531" s="28"/>
      <c r="N531" s="28"/>
    </row>
    <row r="532" spans="10:14" x14ac:dyDescent="0.2">
      <c r="J532" s="206"/>
      <c r="K532" s="28"/>
      <c r="L532" s="28"/>
      <c r="M532" s="28"/>
      <c r="N532" s="28"/>
    </row>
    <row r="533" spans="10:14" x14ac:dyDescent="0.2">
      <c r="J533" s="206"/>
      <c r="K533" s="28"/>
      <c r="L533" s="28"/>
      <c r="M533" s="28"/>
      <c r="N533" s="28"/>
    </row>
    <row r="534" spans="10:14" x14ac:dyDescent="0.2">
      <c r="J534" s="206"/>
      <c r="K534" s="28"/>
      <c r="L534" s="28"/>
      <c r="M534" s="28"/>
      <c r="N534" s="28"/>
    </row>
    <row r="535" spans="10:14" x14ac:dyDescent="0.2">
      <c r="J535" s="206"/>
      <c r="K535" s="28"/>
      <c r="L535" s="28"/>
      <c r="M535" s="28"/>
      <c r="N535" s="28"/>
    </row>
    <row r="536" spans="10:14" x14ac:dyDescent="0.2">
      <c r="J536" s="206"/>
      <c r="K536" s="28"/>
      <c r="L536" s="28"/>
      <c r="M536" s="28"/>
      <c r="N536" s="28"/>
    </row>
    <row r="537" spans="10:14" x14ac:dyDescent="0.2">
      <c r="J537" s="206"/>
      <c r="K537" s="28"/>
      <c r="L537" s="28"/>
      <c r="M537" s="28"/>
      <c r="N537" s="28"/>
    </row>
    <row r="538" spans="10:14" x14ac:dyDescent="0.2">
      <c r="J538" s="206"/>
      <c r="K538" s="28"/>
      <c r="L538" s="28"/>
      <c r="M538" s="28"/>
      <c r="N538" s="28"/>
    </row>
    <row r="539" spans="10:14" x14ac:dyDescent="0.2">
      <c r="J539" s="206"/>
      <c r="K539" s="28"/>
      <c r="L539" s="28"/>
      <c r="M539" s="28"/>
      <c r="N539" s="28"/>
    </row>
    <row r="540" spans="10:14" x14ac:dyDescent="0.2">
      <c r="J540" s="206"/>
      <c r="K540" s="28"/>
      <c r="L540" s="28"/>
      <c r="M540" s="28"/>
      <c r="N540" s="28"/>
    </row>
    <row r="541" spans="10:14" x14ac:dyDescent="0.2">
      <c r="J541" s="206"/>
      <c r="K541" s="28"/>
      <c r="L541" s="28"/>
      <c r="M541" s="28"/>
      <c r="N541" s="28"/>
    </row>
    <row r="542" spans="10:14" x14ac:dyDescent="0.2">
      <c r="J542" s="206"/>
      <c r="K542" s="28"/>
      <c r="L542" s="28"/>
      <c r="M542" s="28"/>
      <c r="N542" s="28"/>
    </row>
    <row r="543" spans="10:14" x14ac:dyDescent="0.2">
      <c r="J543" s="206"/>
      <c r="K543" s="28"/>
      <c r="L543" s="28"/>
      <c r="M543" s="28"/>
      <c r="N543" s="28"/>
    </row>
    <row r="544" spans="10:14" x14ac:dyDescent="0.2">
      <c r="J544" s="206"/>
      <c r="K544" s="28"/>
      <c r="L544" s="28"/>
      <c r="M544" s="28"/>
      <c r="N544" s="28"/>
    </row>
    <row r="545" spans="10:14" x14ac:dyDescent="0.2">
      <c r="J545" s="206"/>
      <c r="K545" s="28"/>
      <c r="L545" s="28"/>
      <c r="M545" s="28"/>
      <c r="N545" s="28"/>
    </row>
    <row r="546" spans="10:14" x14ac:dyDescent="0.2">
      <c r="J546" s="206"/>
      <c r="K546" s="28"/>
      <c r="L546" s="28"/>
      <c r="M546" s="28"/>
      <c r="N546" s="28"/>
    </row>
    <row r="547" spans="10:14" x14ac:dyDescent="0.2">
      <c r="J547" s="206"/>
      <c r="K547" s="28"/>
      <c r="L547" s="28"/>
      <c r="M547" s="28"/>
      <c r="N547" s="28"/>
    </row>
    <row r="548" spans="10:14" x14ac:dyDescent="0.2">
      <c r="J548" s="206"/>
      <c r="K548" s="28"/>
      <c r="L548" s="28"/>
      <c r="M548" s="28"/>
      <c r="N548" s="28"/>
    </row>
    <row r="549" spans="10:14" x14ac:dyDescent="0.2">
      <c r="J549" s="206"/>
      <c r="K549" s="28"/>
      <c r="L549" s="28"/>
      <c r="M549" s="28"/>
      <c r="N549" s="28"/>
    </row>
    <row r="550" spans="10:14" x14ac:dyDescent="0.2">
      <c r="J550" s="206"/>
      <c r="K550" s="28"/>
      <c r="L550" s="28"/>
      <c r="M550" s="28"/>
      <c r="N550" s="28"/>
    </row>
    <row r="551" spans="10:14" x14ac:dyDescent="0.2">
      <c r="J551" s="206"/>
      <c r="K551" s="28"/>
      <c r="L551" s="28"/>
      <c r="M551" s="28"/>
      <c r="N551" s="28"/>
    </row>
    <row r="552" spans="10:14" x14ac:dyDescent="0.2">
      <c r="J552" s="206"/>
      <c r="K552" s="28"/>
      <c r="L552" s="28"/>
      <c r="M552" s="28"/>
      <c r="N552" s="28"/>
    </row>
    <row r="553" spans="10:14" x14ac:dyDescent="0.2">
      <c r="J553" s="206"/>
      <c r="K553" s="28"/>
      <c r="L553" s="28"/>
      <c r="M553" s="28"/>
      <c r="N553" s="28"/>
    </row>
    <row r="554" spans="10:14" x14ac:dyDescent="0.2">
      <c r="J554" s="206"/>
      <c r="K554" s="28"/>
      <c r="L554" s="28"/>
      <c r="M554" s="28"/>
      <c r="N554" s="28"/>
    </row>
    <row r="555" spans="10:14" x14ac:dyDescent="0.2">
      <c r="J555" s="206"/>
      <c r="K555" s="28"/>
      <c r="L555" s="28"/>
      <c r="M555" s="28"/>
      <c r="N555" s="28"/>
    </row>
    <row r="556" spans="10:14" x14ac:dyDescent="0.2">
      <c r="J556" s="206"/>
      <c r="K556" s="28"/>
      <c r="L556" s="28"/>
      <c r="M556" s="28"/>
      <c r="N556" s="28"/>
    </row>
    <row r="557" spans="10:14" x14ac:dyDescent="0.2">
      <c r="J557" s="206"/>
      <c r="K557" s="28"/>
      <c r="L557" s="28"/>
      <c r="M557" s="28"/>
      <c r="N557" s="28"/>
    </row>
    <row r="558" spans="10:14" x14ac:dyDescent="0.2">
      <c r="J558" s="206"/>
      <c r="K558" s="28"/>
      <c r="L558" s="28"/>
      <c r="M558" s="28"/>
      <c r="N558" s="28"/>
    </row>
    <row r="559" spans="10:14" x14ac:dyDescent="0.2">
      <c r="J559" s="206"/>
      <c r="K559" s="28"/>
      <c r="L559" s="28"/>
      <c r="M559" s="28"/>
      <c r="N559" s="28"/>
    </row>
    <row r="560" spans="10:14" x14ac:dyDescent="0.2">
      <c r="J560" s="206"/>
      <c r="K560" s="28"/>
      <c r="L560" s="28"/>
      <c r="M560" s="28"/>
      <c r="N560" s="28"/>
    </row>
    <row r="561" spans="10:14" x14ac:dyDescent="0.2">
      <c r="J561" s="206"/>
      <c r="K561" s="28"/>
      <c r="L561" s="28"/>
      <c r="M561" s="28"/>
      <c r="N561" s="28"/>
    </row>
    <row r="562" spans="10:14" x14ac:dyDescent="0.2">
      <c r="J562" s="206"/>
      <c r="K562" s="28"/>
      <c r="L562" s="28"/>
      <c r="M562" s="28"/>
      <c r="N562" s="28"/>
    </row>
    <row r="563" spans="10:14" x14ac:dyDescent="0.2">
      <c r="J563" s="206"/>
      <c r="K563" s="28"/>
      <c r="L563" s="28"/>
      <c r="M563" s="28"/>
      <c r="N563" s="28"/>
    </row>
    <row r="564" spans="10:14" x14ac:dyDescent="0.2">
      <c r="J564" s="206"/>
      <c r="K564" s="28"/>
      <c r="L564" s="28"/>
      <c r="M564" s="28"/>
      <c r="N564" s="28"/>
    </row>
    <row r="565" spans="10:14" x14ac:dyDescent="0.2">
      <c r="J565" s="206"/>
      <c r="K565" s="28"/>
      <c r="L565" s="28"/>
      <c r="M565" s="28"/>
      <c r="N565" s="28"/>
    </row>
    <row r="566" spans="10:14" x14ac:dyDescent="0.2">
      <c r="J566" s="206"/>
      <c r="K566" s="28"/>
      <c r="L566" s="28"/>
      <c r="M566" s="28"/>
      <c r="N566" s="28"/>
    </row>
    <row r="567" spans="10:14" x14ac:dyDescent="0.2">
      <c r="J567" s="206"/>
      <c r="K567" s="28"/>
      <c r="L567" s="28"/>
      <c r="M567" s="28"/>
      <c r="N567" s="28"/>
    </row>
    <row r="568" spans="10:14" x14ac:dyDescent="0.2">
      <c r="J568" s="206"/>
      <c r="K568" s="28"/>
      <c r="L568" s="28"/>
      <c r="M568" s="28"/>
      <c r="N568" s="28"/>
    </row>
    <row r="569" spans="10:14" x14ac:dyDescent="0.2">
      <c r="J569" s="206"/>
      <c r="K569" s="28"/>
      <c r="L569" s="28"/>
      <c r="M569" s="28"/>
      <c r="N569" s="28"/>
    </row>
    <row r="570" spans="10:14" x14ac:dyDescent="0.2">
      <c r="J570" s="206"/>
      <c r="K570" s="28"/>
      <c r="L570" s="28"/>
      <c r="M570" s="28"/>
      <c r="N570" s="28"/>
    </row>
    <row r="571" spans="10:14" x14ac:dyDescent="0.2">
      <c r="J571" s="206"/>
      <c r="K571" s="28"/>
      <c r="L571" s="28"/>
      <c r="M571" s="28"/>
      <c r="N571" s="28"/>
    </row>
    <row r="572" spans="10:14" x14ac:dyDescent="0.2">
      <c r="J572" s="206"/>
      <c r="K572" s="28"/>
      <c r="L572" s="28"/>
      <c r="M572" s="28"/>
      <c r="N572" s="28"/>
    </row>
    <row r="573" spans="10:14" x14ac:dyDescent="0.2">
      <c r="J573" s="206"/>
      <c r="K573" s="28"/>
      <c r="L573" s="28"/>
      <c r="M573" s="28"/>
      <c r="N573" s="28"/>
    </row>
    <row r="574" spans="10:14" x14ac:dyDescent="0.2">
      <c r="J574" s="206"/>
      <c r="K574" s="28"/>
      <c r="L574" s="28"/>
      <c r="M574" s="28"/>
      <c r="N574" s="28"/>
    </row>
    <row r="575" spans="10:14" x14ac:dyDescent="0.2">
      <c r="J575" s="206"/>
      <c r="K575" s="28"/>
      <c r="L575" s="28"/>
      <c r="M575" s="28"/>
      <c r="N575" s="28"/>
    </row>
    <row r="576" spans="10:14" x14ac:dyDescent="0.2">
      <c r="J576" s="206"/>
      <c r="K576" s="28"/>
      <c r="L576" s="28"/>
      <c r="M576" s="28"/>
      <c r="N576" s="28"/>
    </row>
    <row r="577" spans="10:14" x14ac:dyDescent="0.2">
      <c r="J577" s="206"/>
      <c r="K577" s="28"/>
      <c r="L577" s="28"/>
      <c r="M577" s="28"/>
      <c r="N577" s="28"/>
    </row>
    <row r="578" spans="10:14" x14ac:dyDescent="0.2">
      <c r="J578" s="206"/>
      <c r="K578" s="28"/>
      <c r="L578" s="28"/>
      <c r="M578" s="28"/>
      <c r="N578" s="28"/>
    </row>
    <row r="579" spans="10:14" x14ac:dyDescent="0.2">
      <c r="J579" s="206"/>
      <c r="K579" s="28"/>
      <c r="L579" s="28"/>
      <c r="M579" s="28"/>
      <c r="N579" s="28"/>
    </row>
    <row r="580" spans="10:14" x14ac:dyDescent="0.2">
      <c r="J580" s="206"/>
      <c r="K580" s="28"/>
      <c r="L580" s="28"/>
      <c r="M580" s="28"/>
      <c r="N580" s="28"/>
    </row>
    <row r="581" spans="10:14" x14ac:dyDescent="0.2">
      <c r="J581" s="206"/>
      <c r="K581" s="28"/>
      <c r="L581" s="28"/>
      <c r="M581" s="28"/>
      <c r="N581" s="28"/>
    </row>
    <row r="582" spans="10:14" x14ac:dyDescent="0.2">
      <c r="J582" s="206"/>
      <c r="K582" s="28"/>
      <c r="L582" s="28"/>
      <c r="M582" s="28"/>
      <c r="N582" s="28"/>
    </row>
    <row r="583" spans="10:14" x14ac:dyDescent="0.2">
      <c r="J583" s="206"/>
      <c r="K583" s="28"/>
      <c r="L583" s="28"/>
      <c r="M583" s="28"/>
      <c r="N583" s="28"/>
    </row>
    <row r="584" spans="10:14" x14ac:dyDescent="0.2">
      <c r="J584" s="206"/>
      <c r="K584" s="28"/>
      <c r="L584" s="28"/>
      <c r="M584" s="28"/>
      <c r="N584" s="28"/>
    </row>
    <row r="585" spans="10:14" x14ac:dyDescent="0.2">
      <c r="J585" s="206"/>
      <c r="K585" s="28"/>
      <c r="L585" s="28"/>
      <c r="M585" s="28"/>
      <c r="N585" s="28"/>
    </row>
    <row r="586" spans="10:14" x14ac:dyDescent="0.2">
      <c r="J586" s="206"/>
      <c r="K586" s="28"/>
      <c r="L586" s="28"/>
      <c r="M586" s="28"/>
      <c r="N586" s="28"/>
    </row>
    <row r="587" spans="10:14" x14ac:dyDescent="0.2">
      <c r="J587" s="206"/>
      <c r="K587" s="28"/>
      <c r="L587" s="28"/>
      <c r="M587" s="28"/>
      <c r="N587" s="28"/>
    </row>
    <row r="588" spans="10:14" x14ac:dyDescent="0.2">
      <c r="J588" s="206"/>
      <c r="K588" s="28"/>
      <c r="L588" s="28"/>
      <c r="M588" s="28"/>
      <c r="N588" s="28"/>
    </row>
    <row r="589" spans="10:14" x14ac:dyDescent="0.2">
      <c r="J589" s="206"/>
      <c r="K589" s="28"/>
      <c r="L589" s="28"/>
      <c r="M589" s="28"/>
      <c r="N589" s="28"/>
    </row>
    <row r="590" spans="10:14" x14ac:dyDescent="0.2">
      <c r="J590" s="206"/>
      <c r="K590" s="28"/>
      <c r="L590" s="28"/>
      <c r="M590" s="28"/>
      <c r="N590" s="28"/>
    </row>
    <row r="591" spans="10:14" x14ac:dyDescent="0.2">
      <c r="J591" s="206"/>
      <c r="K591" s="28"/>
      <c r="L591" s="28"/>
      <c r="M591" s="28"/>
      <c r="N591" s="28"/>
    </row>
    <row r="592" spans="10:14" x14ac:dyDescent="0.2">
      <c r="J592" s="206"/>
      <c r="K592" s="28"/>
      <c r="L592" s="28"/>
      <c r="M592" s="28"/>
      <c r="N592" s="28"/>
    </row>
    <row r="593" spans="10:14" x14ac:dyDescent="0.2">
      <c r="J593" s="206"/>
      <c r="K593" s="28"/>
      <c r="L593" s="28"/>
      <c r="M593" s="28"/>
      <c r="N593" s="28"/>
    </row>
    <row r="594" spans="10:14" x14ac:dyDescent="0.2">
      <c r="J594" s="206"/>
      <c r="K594" s="28"/>
      <c r="L594" s="28"/>
      <c r="M594" s="28"/>
      <c r="N594" s="28"/>
    </row>
    <row r="595" spans="10:14" x14ac:dyDescent="0.2">
      <c r="J595" s="206"/>
      <c r="K595" s="28"/>
      <c r="L595" s="28"/>
      <c r="M595" s="28"/>
      <c r="N595" s="28"/>
    </row>
    <row r="596" spans="10:14" x14ac:dyDescent="0.2">
      <c r="J596" s="206"/>
      <c r="K596" s="28"/>
      <c r="L596" s="28"/>
      <c r="M596" s="28"/>
      <c r="N596" s="28"/>
    </row>
    <row r="597" spans="10:14" x14ac:dyDescent="0.2">
      <c r="J597" s="206"/>
      <c r="K597" s="28"/>
      <c r="L597" s="28"/>
      <c r="M597" s="28"/>
      <c r="N597" s="28"/>
    </row>
    <row r="598" spans="10:14" x14ac:dyDescent="0.2">
      <c r="J598" s="206"/>
      <c r="K598" s="28"/>
      <c r="L598" s="28"/>
      <c r="M598" s="28"/>
      <c r="N598" s="28"/>
    </row>
    <row r="599" spans="10:14" x14ac:dyDescent="0.2">
      <c r="J599" s="206"/>
      <c r="K599" s="28"/>
      <c r="L599" s="28"/>
      <c r="M599" s="28"/>
      <c r="N599" s="28"/>
    </row>
    <row r="600" spans="10:14" x14ac:dyDescent="0.2">
      <c r="J600" s="206"/>
      <c r="K600" s="28"/>
      <c r="L600" s="28"/>
      <c r="M600" s="28"/>
      <c r="N600" s="28"/>
    </row>
    <row r="601" spans="10:14" x14ac:dyDescent="0.2">
      <c r="J601" s="206"/>
      <c r="K601" s="28"/>
      <c r="L601" s="28"/>
      <c r="M601" s="28"/>
      <c r="N601" s="28"/>
    </row>
    <row r="602" spans="10:14" x14ac:dyDescent="0.2">
      <c r="J602" s="206"/>
      <c r="K602" s="28"/>
      <c r="L602" s="28"/>
      <c r="M602" s="28"/>
      <c r="N602" s="28"/>
    </row>
    <row r="603" spans="10:14" x14ac:dyDescent="0.2">
      <c r="J603" s="206"/>
      <c r="K603" s="28"/>
      <c r="L603" s="28"/>
      <c r="M603" s="28"/>
      <c r="N603" s="28"/>
    </row>
    <row r="604" spans="10:14" x14ac:dyDescent="0.2">
      <c r="J604" s="206"/>
      <c r="K604" s="28"/>
      <c r="L604" s="28"/>
      <c r="M604" s="28"/>
      <c r="N604" s="28"/>
    </row>
    <row r="605" spans="10:14" x14ac:dyDescent="0.2">
      <c r="J605" s="206"/>
      <c r="K605" s="28"/>
      <c r="L605" s="28"/>
      <c r="M605" s="28"/>
      <c r="N605" s="28"/>
    </row>
    <row r="606" spans="10:14" x14ac:dyDescent="0.2">
      <c r="J606" s="206"/>
      <c r="K606" s="28"/>
      <c r="L606" s="28"/>
      <c r="M606" s="28"/>
      <c r="N606" s="28"/>
    </row>
    <row r="607" spans="10:14" x14ac:dyDescent="0.2">
      <c r="J607" s="206"/>
      <c r="K607" s="28"/>
      <c r="L607" s="28"/>
      <c r="M607" s="28"/>
      <c r="N607" s="28"/>
    </row>
    <row r="608" spans="10:14" x14ac:dyDescent="0.2">
      <c r="J608" s="206"/>
      <c r="K608" s="28"/>
      <c r="L608" s="28"/>
      <c r="M608" s="28"/>
      <c r="N608" s="28"/>
    </row>
    <row r="609" spans="10:14" x14ac:dyDescent="0.2">
      <c r="J609" s="206"/>
      <c r="K609" s="28"/>
      <c r="L609" s="28"/>
      <c r="M609" s="28"/>
      <c r="N609" s="28"/>
    </row>
    <row r="610" spans="10:14" x14ac:dyDescent="0.2">
      <c r="J610" s="206"/>
      <c r="K610" s="28"/>
      <c r="L610" s="28"/>
      <c r="M610" s="28"/>
      <c r="N610" s="28"/>
    </row>
    <row r="611" spans="10:14" x14ac:dyDescent="0.2">
      <c r="J611" s="206"/>
      <c r="K611" s="28"/>
      <c r="L611" s="28"/>
      <c r="M611" s="28"/>
      <c r="N611" s="28"/>
    </row>
    <row r="612" spans="10:14" x14ac:dyDescent="0.2">
      <c r="J612" s="206"/>
      <c r="K612" s="28"/>
      <c r="L612" s="28"/>
      <c r="M612" s="28"/>
      <c r="N612" s="28"/>
    </row>
    <row r="613" spans="10:14" x14ac:dyDescent="0.2">
      <c r="J613" s="206"/>
      <c r="K613" s="28"/>
      <c r="L613" s="28"/>
      <c r="M613" s="28"/>
      <c r="N613" s="28"/>
    </row>
    <row r="614" spans="10:14" x14ac:dyDescent="0.2">
      <c r="J614" s="206"/>
      <c r="K614" s="28"/>
      <c r="L614" s="28"/>
      <c r="M614" s="28"/>
      <c r="N614" s="28"/>
    </row>
    <row r="615" spans="10:14" x14ac:dyDescent="0.2">
      <c r="J615" s="206"/>
      <c r="K615" s="28"/>
      <c r="L615" s="28"/>
      <c r="M615" s="28"/>
      <c r="N615" s="28"/>
    </row>
    <row r="616" spans="10:14" x14ac:dyDescent="0.2">
      <c r="J616" s="206"/>
      <c r="K616" s="28"/>
      <c r="L616" s="28"/>
      <c r="M616" s="28"/>
      <c r="N616" s="28"/>
    </row>
    <row r="617" spans="10:14" x14ac:dyDescent="0.2">
      <c r="J617" s="206"/>
      <c r="K617" s="28"/>
      <c r="L617" s="28"/>
      <c r="M617" s="28"/>
      <c r="N617" s="28"/>
    </row>
    <row r="618" spans="10:14" x14ac:dyDescent="0.2">
      <c r="J618" s="206"/>
      <c r="K618" s="28"/>
      <c r="L618" s="28"/>
      <c r="M618" s="28"/>
      <c r="N618" s="28"/>
    </row>
    <row r="619" spans="10:14" x14ac:dyDescent="0.2">
      <c r="J619" s="206"/>
      <c r="K619" s="28"/>
      <c r="L619" s="28"/>
      <c r="M619" s="28"/>
      <c r="N619" s="28"/>
    </row>
    <row r="620" spans="10:14" x14ac:dyDescent="0.2">
      <c r="J620" s="206"/>
      <c r="K620" s="28"/>
      <c r="L620" s="28"/>
      <c r="M620" s="28"/>
      <c r="N620" s="28"/>
    </row>
    <row r="621" spans="10:14" x14ac:dyDescent="0.2">
      <c r="J621" s="206"/>
      <c r="K621" s="28"/>
      <c r="L621" s="28"/>
      <c r="M621" s="28"/>
      <c r="N621" s="28"/>
    </row>
    <row r="622" spans="10:14" x14ac:dyDescent="0.2">
      <c r="J622" s="206"/>
      <c r="K622" s="28"/>
      <c r="L622" s="28"/>
      <c r="M622" s="28"/>
      <c r="N622" s="28"/>
    </row>
    <row r="623" spans="10:14" x14ac:dyDescent="0.2">
      <c r="J623" s="206"/>
      <c r="K623" s="28"/>
      <c r="L623" s="28"/>
      <c r="M623" s="28"/>
      <c r="N623" s="28"/>
    </row>
    <row r="624" spans="10:14" x14ac:dyDescent="0.2">
      <c r="J624" s="206"/>
      <c r="K624" s="28"/>
      <c r="L624" s="28"/>
      <c r="M624" s="28"/>
      <c r="N624" s="28"/>
    </row>
    <row r="625" spans="10:14" x14ac:dyDescent="0.2">
      <c r="J625" s="206"/>
      <c r="K625" s="28"/>
      <c r="L625" s="28"/>
      <c r="M625" s="28"/>
      <c r="N625" s="28"/>
    </row>
    <row r="626" spans="10:14" x14ac:dyDescent="0.2">
      <c r="J626" s="206"/>
      <c r="K626" s="28"/>
      <c r="L626" s="28"/>
      <c r="M626" s="28"/>
      <c r="N626" s="28"/>
    </row>
    <row r="627" spans="10:14" x14ac:dyDescent="0.2">
      <c r="J627" s="206"/>
      <c r="K627" s="28"/>
      <c r="L627" s="28"/>
      <c r="M627" s="28"/>
      <c r="N627" s="28"/>
    </row>
    <row r="628" spans="10:14" x14ac:dyDescent="0.2">
      <c r="J628" s="206"/>
      <c r="K628" s="28"/>
      <c r="L628" s="28"/>
      <c r="M628" s="28"/>
      <c r="N628" s="28"/>
    </row>
    <row r="629" spans="10:14" x14ac:dyDescent="0.2">
      <c r="J629" s="206"/>
      <c r="K629" s="28"/>
      <c r="L629" s="28"/>
      <c r="M629" s="28"/>
      <c r="N629" s="28"/>
    </row>
    <row r="630" spans="10:14" x14ac:dyDescent="0.2">
      <c r="J630" s="206"/>
      <c r="K630" s="28"/>
      <c r="L630" s="28"/>
      <c r="M630" s="28"/>
      <c r="N630" s="28"/>
    </row>
    <row r="631" spans="10:14" x14ac:dyDescent="0.2">
      <c r="J631" s="206"/>
      <c r="K631" s="28"/>
      <c r="L631" s="28"/>
      <c r="M631" s="28"/>
      <c r="N631" s="28"/>
    </row>
    <row r="632" spans="10:14" x14ac:dyDescent="0.2">
      <c r="J632" s="206"/>
      <c r="K632" s="28"/>
      <c r="L632" s="28"/>
      <c r="M632" s="28"/>
      <c r="N632" s="28"/>
    </row>
    <row r="633" spans="10:14" x14ac:dyDescent="0.2">
      <c r="J633" s="206"/>
      <c r="K633" s="28"/>
      <c r="L633" s="28"/>
      <c r="M633" s="28"/>
      <c r="N633" s="28"/>
    </row>
    <row r="634" spans="10:14" x14ac:dyDescent="0.2">
      <c r="J634" s="206"/>
      <c r="K634" s="28"/>
      <c r="L634" s="28"/>
      <c r="M634" s="28"/>
      <c r="N634" s="28"/>
    </row>
    <row r="635" spans="10:14" x14ac:dyDescent="0.2">
      <c r="J635" s="206"/>
      <c r="K635" s="28"/>
      <c r="L635" s="28"/>
      <c r="M635" s="28"/>
      <c r="N635" s="28"/>
    </row>
    <row r="636" spans="10:14" x14ac:dyDescent="0.2">
      <c r="J636" s="206"/>
      <c r="K636" s="28"/>
      <c r="L636" s="28"/>
      <c r="M636" s="28"/>
      <c r="N636" s="28"/>
    </row>
    <row r="637" spans="10:14" x14ac:dyDescent="0.2">
      <c r="J637" s="206"/>
      <c r="K637" s="28"/>
      <c r="L637" s="28"/>
      <c r="M637" s="28"/>
      <c r="N637" s="28"/>
    </row>
    <row r="638" spans="10:14" x14ac:dyDescent="0.2">
      <c r="J638" s="206"/>
      <c r="K638" s="28"/>
      <c r="L638" s="28"/>
      <c r="M638" s="28"/>
      <c r="N638" s="28"/>
    </row>
    <row r="639" spans="10:14" x14ac:dyDescent="0.2">
      <c r="J639" s="206"/>
      <c r="K639" s="28"/>
      <c r="L639" s="28"/>
      <c r="M639" s="28"/>
      <c r="N639" s="28"/>
    </row>
    <row r="640" spans="10:14" x14ac:dyDescent="0.2">
      <c r="J640" s="206"/>
      <c r="K640" s="28"/>
      <c r="L640" s="28"/>
      <c r="M640" s="28"/>
      <c r="N640" s="28"/>
    </row>
    <row r="641" spans="10:14" x14ac:dyDescent="0.2">
      <c r="J641" s="206"/>
      <c r="K641" s="28"/>
      <c r="L641" s="28"/>
      <c r="M641" s="28"/>
      <c r="N641" s="28"/>
    </row>
    <row r="642" spans="10:14" x14ac:dyDescent="0.2">
      <c r="J642" s="206"/>
      <c r="K642" s="28"/>
      <c r="L642" s="28"/>
      <c r="M642" s="28"/>
      <c r="N642" s="28"/>
    </row>
    <row r="643" spans="10:14" x14ac:dyDescent="0.2">
      <c r="J643" s="206"/>
      <c r="K643" s="28"/>
      <c r="L643" s="28"/>
      <c r="M643" s="28"/>
      <c r="N643" s="28"/>
    </row>
    <row r="644" spans="10:14" x14ac:dyDescent="0.2">
      <c r="J644" s="206"/>
      <c r="K644" s="28"/>
      <c r="L644" s="28"/>
      <c r="M644" s="28"/>
      <c r="N644" s="28"/>
    </row>
    <row r="645" spans="10:14" x14ac:dyDescent="0.2">
      <c r="J645" s="206"/>
      <c r="K645" s="28"/>
      <c r="L645" s="28"/>
      <c r="M645" s="28"/>
      <c r="N645" s="28"/>
    </row>
    <row r="646" spans="10:14" x14ac:dyDescent="0.2">
      <c r="J646" s="206"/>
      <c r="K646" s="28"/>
      <c r="L646" s="28"/>
      <c r="M646" s="28"/>
      <c r="N646" s="28"/>
    </row>
    <row r="647" spans="10:14" x14ac:dyDescent="0.2">
      <c r="J647" s="206"/>
      <c r="K647" s="28"/>
      <c r="L647" s="28"/>
      <c r="M647" s="28"/>
      <c r="N647" s="28"/>
    </row>
    <row r="648" spans="10:14" x14ac:dyDescent="0.2">
      <c r="J648" s="206"/>
      <c r="K648" s="28"/>
      <c r="L648" s="28"/>
      <c r="M648" s="28"/>
      <c r="N648" s="28"/>
    </row>
    <row r="649" spans="10:14" x14ac:dyDescent="0.2">
      <c r="J649" s="206"/>
      <c r="K649" s="28"/>
      <c r="L649" s="28"/>
      <c r="M649" s="28"/>
      <c r="N649" s="28"/>
    </row>
    <row r="650" spans="10:14" x14ac:dyDescent="0.2">
      <c r="J650" s="206"/>
      <c r="K650" s="28"/>
      <c r="L650" s="28"/>
      <c r="M650" s="28"/>
      <c r="N650" s="28"/>
    </row>
    <row r="651" spans="10:14" x14ac:dyDescent="0.2">
      <c r="J651" s="206"/>
      <c r="K651" s="28"/>
      <c r="L651" s="28"/>
      <c r="M651" s="28"/>
      <c r="N651" s="28"/>
    </row>
    <row r="652" spans="10:14" x14ac:dyDescent="0.2">
      <c r="J652" s="206"/>
      <c r="K652" s="28"/>
      <c r="L652" s="28"/>
      <c r="M652" s="28"/>
      <c r="N652" s="28"/>
    </row>
    <row r="653" spans="10:14" x14ac:dyDescent="0.2">
      <c r="J653" s="206"/>
      <c r="K653" s="28"/>
      <c r="L653" s="28"/>
      <c r="M653" s="28"/>
      <c r="N653" s="28"/>
    </row>
    <row r="654" spans="10:14" x14ac:dyDescent="0.2">
      <c r="J654" s="206"/>
      <c r="K654" s="28"/>
      <c r="L654" s="28"/>
      <c r="M654" s="28"/>
      <c r="N654" s="28"/>
    </row>
    <row r="655" spans="10:14" x14ac:dyDescent="0.2">
      <c r="J655" s="206"/>
      <c r="K655" s="28"/>
      <c r="L655" s="28"/>
      <c r="M655" s="28"/>
      <c r="N655" s="28"/>
    </row>
    <row r="656" spans="10:14" x14ac:dyDescent="0.2">
      <c r="J656" s="206"/>
      <c r="K656" s="28"/>
      <c r="L656" s="28"/>
      <c r="M656" s="28"/>
      <c r="N656" s="28"/>
    </row>
    <row r="657" spans="10:14" x14ac:dyDescent="0.2">
      <c r="J657" s="206"/>
      <c r="K657" s="28"/>
      <c r="L657" s="28"/>
      <c r="M657" s="28"/>
      <c r="N657" s="28"/>
    </row>
    <row r="658" spans="10:14" x14ac:dyDescent="0.2">
      <c r="J658" s="206"/>
      <c r="K658" s="28"/>
      <c r="L658" s="28"/>
      <c r="M658" s="28"/>
      <c r="N658" s="28"/>
    </row>
    <row r="659" spans="10:14" x14ac:dyDescent="0.2">
      <c r="J659" s="206"/>
      <c r="K659" s="28"/>
      <c r="L659" s="28"/>
      <c r="M659" s="28"/>
      <c r="N659" s="28"/>
    </row>
    <row r="660" spans="10:14" x14ac:dyDescent="0.2">
      <c r="J660" s="206"/>
      <c r="K660" s="28"/>
      <c r="L660" s="28"/>
      <c r="M660" s="28"/>
      <c r="N660" s="28"/>
    </row>
    <row r="661" spans="10:14" x14ac:dyDescent="0.2">
      <c r="J661" s="206"/>
      <c r="K661" s="28"/>
      <c r="L661" s="28"/>
      <c r="M661" s="28"/>
      <c r="N661" s="28"/>
    </row>
    <row r="662" spans="10:14" x14ac:dyDescent="0.2">
      <c r="J662" s="206"/>
      <c r="K662" s="28"/>
      <c r="L662" s="28"/>
      <c r="M662" s="28"/>
      <c r="N662" s="28"/>
    </row>
    <row r="663" spans="10:14" x14ac:dyDescent="0.2">
      <c r="J663" s="206"/>
      <c r="K663" s="28"/>
      <c r="L663" s="28"/>
      <c r="M663" s="28"/>
      <c r="N663" s="28"/>
    </row>
    <row r="664" spans="10:14" x14ac:dyDescent="0.2">
      <c r="J664" s="206"/>
      <c r="K664" s="28"/>
      <c r="L664" s="28"/>
      <c r="M664" s="28"/>
      <c r="N664" s="28"/>
    </row>
    <row r="665" spans="10:14" x14ac:dyDescent="0.2">
      <c r="J665" s="206"/>
      <c r="K665" s="28"/>
      <c r="L665" s="28"/>
      <c r="M665" s="28"/>
      <c r="N665" s="28"/>
    </row>
    <row r="666" spans="10:14" x14ac:dyDescent="0.2">
      <c r="J666" s="206"/>
      <c r="K666" s="28"/>
      <c r="L666" s="28"/>
      <c r="M666" s="28"/>
      <c r="N666" s="28"/>
    </row>
    <row r="667" spans="10:14" x14ac:dyDescent="0.2">
      <c r="J667" s="206"/>
      <c r="K667" s="28"/>
      <c r="L667" s="28"/>
      <c r="M667" s="28"/>
      <c r="N667" s="28"/>
    </row>
    <row r="668" spans="10:14" x14ac:dyDescent="0.2">
      <c r="J668" s="206"/>
      <c r="K668" s="28"/>
      <c r="L668" s="28"/>
      <c r="M668" s="28"/>
      <c r="N668" s="28"/>
    </row>
    <row r="669" spans="10:14" x14ac:dyDescent="0.2">
      <c r="J669" s="206"/>
      <c r="K669" s="28"/>
      <c r="L669" s="28"/>
      <c r="M669" s="28"/>
      <c r="N669" s="28"/>
    </row>
    <row r="670" spans="10:14" x14ac:dyDescent="0.2">
      <c r="J670" s="206"/>
      <c r="K670" s="28"/>
      <c r="L670" s="28"/>
      <c r="M670" s="28"/>
      <c r="N670" s="28"/>
    </row>
    <row r="671" spans="10:14" x14ac:dyDescent="0.2">
      <c r="J671" s="206"/>
      <c r="K671" s="28"/>
      <c r="L671" s="28"/>
      <c r="M671" s="28"/>
      <c r="N671" s="28"/>
    </row>
    <row r="672" spans="10:14" x14ac:dyDescent="0.2">
      <c r="J672" s="206"/>
      <c r="K672" s="28"/>
      <c r="L672" s="28"/>
      <c r="M672" s="28"/>
      <c r="N672" s="28"/>
    </row>
    <row r="673" spans="10:14" x14ac:dyDescent="0.2">
      <c r="J673" s="206"/>
      <c r="K673" s="28"/>
      <c r="L673" s="28"/>
      <c r="M673" s="28"/>
      <c r="N673" s="28"/>
    </row>
    <row r="674" spans="10:14" x14ac:dyDescent="0.2">
      <c r="J674" s="206"/>
      <c r="K674" s="28"/>
      <c r="L674" s="28"/>
      <c r="M674" s="28"/>
      <c r="N674" s="28"/>
    </row>
    <row r="675" spans="10:14" x14ac:dyDescent="0.2">
      <c r="J675" s="206"/>
      <c r="K675" s="28"/>
      <c r="L675" s="28"/>
      <c r="M675" s="28"/>
      <c r="N675" s="28"/>
    </row>
    <row r="676" spans="10:14" x14ac:dyDescent="0.2">
      <c r="J676" s="206"/>
      <c r="K676" s="28"/>
      <c r="L676" s="28"/>
      <c r="M676" s="28"/>
      <c r="N676" s="28"/>
    </row>
    <row r="677" spans="10:14" x14ac:dyDescent="0.2">
      <c r="J677" s="206"/>
      <c r="K677" s="28"/>
      <c r="L677" s="28"/>
      <c r="M677" s="28"/>
      <c r="N677" s="28"/>
    </row>
    <row r="678" spans="10:14" x14ac:dyDescent="0.2">
      <c r="J678" s="206"/>
      <c r="K678" s="28"/>
      <c r="L678" s="28"/>
      <c r="M678" s="28"/>
      <c r="N678" s="28"/>
    </row>
    <row r="679" spans="10:14" x14ac:dyDescent="0.2">
      <c r="J679" s="206"/>
      <c r="K679" s="28"/>
      <c r="L679" s="28"/>
      <c r="M679" s="28"/>
      <c r="N679" s="28"/>
    </row>
    <row r="680" spans="10:14" x14ac:dyDescent="0.2">
      <c r="J680" s="206"/>
      <c r="K680" s="28"/>
      <c r="L680" s="28"/>
      <c r="M680" s="28"/>
      <c r="N680" s="28"/>
    </row>
    <row r="681" spans="10:14" x14ac:dyDescent="0.2">
      <c r="J681" s="206"/>
      <c r="K681" s="28"/>
      <c r="L681" s="28"/>
      <c r="M681" s="28"/>
      <c r="N681" s="28"/>
    </row>
    <row r="682" spans="10:14" x14ac:dyDescent="0.2">
      <c r="J682" s="206"/>
      <c r="K682" s="28"/>
      <c r="L682" s="28"/>
      <c r="M682" s="28"/>
      <c r="N682" s="28"/>
    </row>
    <row r="683" spans="10:14" x14ac:dyDescent="0.2">
      <c r="J683" s="206"/>
      <c r="K683" s="28"/>
      <c r="L683" s="28"/>
      <c r="M683" s="28"/>
      <c r="N683" s="28"/>
    </row>
    <row r="684" spans="10:14" x14ac:dyDescent="0.2">
      <c r="J684" s="206"/>
      <c r="K684" s="28"/>
      <c r="L684" s="28"/>
      <c r="M684" s="28"/>
      <c r="N684" s="28"/>
    </row>
    <row r="685" spans="10:14" x14ac:dyDescent="0.2">
      <c r="J685" s="206"/>
      <c r="K685" s="28"/>
      <c r="L685" s="28"/>
      <c r="M685" s="28"/>
      <c r="N685" s="28"/>
    </row>
    <row r="686" spans="10:14" x14ac:dyDescent="0.2">
      <c r="J686" s="206"/>
      <c r="K686" s="28"/>
      <c r="L686" s="28"/>
      <c r="M686" s="28"/>
      <c r="N686" s="28"/>
    </row>
    <row r="687" spans="10:14" x14ac:dyDescent="0.2">
      <c r="J687" s="206"/>
      <c r="K687" s="28"/>
      <c r="L687" s="28"/>
      <c r="M687" s="28"/>
      <c r="N687" s="28"/>
    </row>
    <row r="688" spans="10:14" x14ac:dyDescent="0.2">
      <c r="J688" s="206"/>
      <c r="K688" s="28"/>
      <c r="L688" s="28"/>
      <c r="M688" s="28"/>
      <c r="N688" s="28"/>
    </row>
    <row r="689" spans="10:14" x14ac:dyDescent="0.2">
      <c r="J689" s="206"/>
      <c r="K689" s="28"/>
      <c r="L689" s="28"/>
      <c r="M689" s="28"/>
      <c r="N689" s="28"/>
    </row>
    <row r="690" spans="10:14" x14ac:dyDescent="0.2">
      <c r="J690" s="206"/>
      <c r="K690" s="28"/>
      <c r="L690" s="28"/>
      <c r="M690" s="28"/>
      <c r="N690" s="28"/>
    </row>
    <row r="691" spans="10:14" x14ac:dyDescent="0.2">
      <c r="J691" s="206"/>
      <c r="K691" s="28"/>
      <c r="L691" s="28"/>
      <c r="M691" s="28"/>
      <c r="N691" s="28"/>
    </row>
    <row r="692" spans="10:14" x14ac:dyDescent="0.2">
      <c r="J692" s="206"/>
      <c r="K692" s="28"/>
      <c r="L692" s="28"/>
      <c r="M692" s="28"/>
      <c r="N692" s="28"/>
    </row>
    <row r="693" spans="10:14" x14ac:dyDescent="0.2">
      <c r="J693" s="206"/>
      <c r="K693" s="28"/>
      <c r="L693" s="28"/>
      <c r="M693" s="28"/>
      <c r="N693" s="28"/>
    </row>
    <row r="694" spans="10:14" x14ac:dyDescent="0.2">
      <c r="J694" s="206"/>
      <c r="K694" s="28"/>
      <c r="L694" s="28"/>
      <c r="M694" s="28"/>
      <c r="N694" s="28"/>
    </row>
    <row r="695" spans="10:14" x14ac:dyDescent="0.2">
      <c r="J695" s="206"/>
      <c r="K695" s="28"/>
      <c r="L695" s="28"/>
      <c r="M695" s="28"/>
      <c r="N695" s="28"/>
    </row>
    <row r="696" spans="10:14" x14ac:dyDescent="0.2">
      <c r="J696" s="206"/>
      <c r="K696" s="28"/>
      <c r="L696" s="28"/>
      <c r="M696" s="28"/>
      <c r="N696" s="28"/>
    </row>
    <row r="697" spans="10:14" x14ac:dyDescent="0.2">
      <c r="J697" s="206"/>
      <c r="K697" s="28"/>
      <c r="L697" s="28"/>
      <c r="M697" s="28"/>
      <c r="N697" s="28"/>
    </row>
    <row r="698" spans="10:14" x14ac:dyDescent="0.2">
      <c r="J698" s="206"/>
      <c r="K698" s="28"/>
      <c r="L698" s="28"/>
      <c r="M698" s="28"/>
      <c r="N698" s="28"/>
    </row>
    <row r="699" spans="10:14" x14ac:dyDescent="0.2">
      <c r="J699" s="206"/>
      <c r="K699" s="28"/>
      <c r="L699" s="28"/>
      <c r="M699" s="28"/>
      <c r="N699" s="28"/>
    </row>
    <row r="700" spans="10:14" x14ac:dyDescent="0.2">
      <c r="J700" s="206"/>
      <c r="K700" s="28"/>
      <c r="L700" s="28"/>
      <c r="M700" s="28"/>
      <c r="N700" s="28"/>
    </row>
    <row r="701" spans="10:14" x14ac:dyDescent="0.2">
      <c r="J701" s="206"/>
      <c r="K701" s="28"/>
      <c r="L701" s="28"/>
      <c r="M701" s="28"/>
      <c r="N701" s="28"/>
    </row>
    <row r="702" spans="10:14" x14ac:dyDescent="0.2">
      <c r="J702" s="206"/>
      <c r="K702" s="28"/>
      <c r="L702" s="28"/>
      <c r="M702" s="28"/>
      <c r="N702" s="28"/>
    </row>
    <row r="703" spans="10:14" x14ac:dyDescent="0.2">
      <c r="J703" s="206"/>
      <c r="K703" s="28"/>
      <c r="L703" s="28"/>
      <c r="M703" s="28"/>
      <c r="N703" s="28"/>
    </row>
    <row r="704" spans="10:14" x14ac:dyDescent="0.2">
      <c r="J704" s="206"/>
      <c r="K704" s="28"/>
      <c r="L704" s="28"/>
      <c r="M704" s="28"/>
      <c r="N704" s="28"/>
    </row>
    <row r="705" spans="10:14" x14ac:dyDescent="0.2">
      <c r="J705" s="206"/>
      <c r="K705" s="28"/>
      <c r="L705" s="28"/>
      <c r="M705" s="28"/>
      <c r="N705" s="28"/>
    </row>
    <row r="706" spans="10:14" x14ac:dyDescent="0.2">
      <c r="J706" s="206"/>
      <c r="K706" s="28"/>
      <c r="L706" s="28"/>
      <c r="M706" s="28"/>
      <c r="N706" s="28"/>
    </row>
    <row r="707" spans="10:14" x14ac:dyDescent="0.2">
      <c r="J707" s="206"/>
      <c r="K707" s="28"/>
      <c r="L707" s="28"/>
      <c r="M707" s="28"/>
      <c r="N707" s="28"/>
    </row>
    <row r="708" spans="10:14" x14ac:dyDescent="0.2">
      <c r="J708" s="206"/>
      <c r="K708" s="28"/>
      <c r="L708" s="28"/>
      <c r="M708" s="28"/>
      <c r="N708" s="28"/>
    </row>
    <row r="709" spans="10:14" x14ac:dyDescent="0.2">
      <c r="J709" s="206"/>
      <c r="K709" s="28"/>
      <c r="L709" s="28"/>
      <c r="M709" s="28"/>
      <c r="N709" s="28"/>
    </row>
    <row r="710" spans="10:14" x14ac:dyDescent="0.2">
      <c r="J710" s="206"/>
      <c r="K710" s="28"/>
      <c r="L710" s="28"/>
      <c r="M710" s="28"/>
      <c r="N710" s="28"/>
    </row>
    <row r="711" spans="10:14" x14ac:dyDescent="0.2">
      <c r="J711" s="206"/>
      <c r="K711" s="28"/>
      <c r="L711" s="28"/>
      <c r="M711" s="28"/>
      <c r="N711" s="28"/>
    </row>
    <row r="712" spans="10:14" x14ac:dyDescent="0.2">
      <c r="J712" s="206"/>
      <c r="K712" s="28"/>
      <c r="L712" s="28"/>
      <c r="M712" s="28"/>
      <c r="N712" s="28"/>
    </row>
    <row r="713" spans="10:14" x14ac:dyDescent="0.2">
      <c r="J713" s="206"/>
      <c r="K713" s="28"/>
      <c r="L713" s="28"/>
      <c r="M713" s="28"/>
      <c r="N713" s="28"/>
    </row>
    <row r="714" spans="10:14" x14ac:dyDescent="0.2">
      <c r="J714" s="206"/>
      <c r="K714" s="28"/>
      <c r="L714" s="28"/>
      <c r="M714" s="28"/>
      <c r="N714" s="28"/>
    </row>
    <row r="715" spans="10:14" x14ac:dyDescent="0.2">
      <c r="J715" s="206"/>
      <c r="K715" s="28"/>
      <c r="L715" s="28"/>
      <c r="M715" s="28"/>
      <c r="N715" s="28"/>
    </row>
    <row r="716" spans="10:14" x14ac:dyDescent="0.2">
      <c r="J716" s="206"/>
      <c r="K716" s="28"/>
      <c r="L716" s="28"/>
      <c r="M716" s="28"/>
      <c r="N716" s="28"/>
    </row>
    <row r="717" spans="10:14" x14ac:dyDescent="0.2">
      <c r="J717" s="206"/>
      <c r="K717" s="28"/>
      <c r="L717" s="28"/>
      <c r="M717" s="28"/>
      <c r="N717" s="28"/>
    </row>
    <row r="718" spans="10:14" x14ac:dyDescent="0.2">
      <c r="J718" s="206"/>
      <c r="K718" s="28"/>
      <c r="L718" s="28"/>
      <c r="M718" s="28"/>
      <c r="N718" s="28"/>
    </row>
    <row r="719" spans="10:14" x14ac:dyDescent="0.2">
      <c r="J719" s="206"/>
      <c r="K719" s="28"/>
      <c r="L719" s="28"/>
      <c r="M719" s="28"/>
      <c r="N719" s="28"/>
    </row>
    <row r="720" spans="10:14" x14ac:dyDescent="0.2">
      <c r="J720" s="206"/>
      <c r="K720" s="28"/>
      <c r="L720" s="28"/>
      <c r="M720" s="28"/>
      <c r="N720" s="28"/>
    </row>
    <row r="721" spans="10:14" x14ac:dyDescent="0.2">
      <c r="J721" s="206"/>
      <c r="K721" s="28"/>
      <c r="L721" s="28"/>
      <c r="M721" s="28"/>
      <c r="N721" s="28"/>
    </row>
    <row r="722" spans="10:14" x14ac:dyDescent="0.2">
      <c r="J722" s="206"/>
      <c r="K722" s="28"/>
      <c r="L722" s="28"/>
      <c r="M722" s="28"/>
      <c r="N722" s="28"/>
    </row>
    <row r="723" spans="10:14" x14ac:dyDescent="0.2">
      <c r="J723" s="206"/>
      <c r="K723" s="28"/>
      <c r="L723" s="28"/>
      <c r="M723" s="28"/>
      <c r="N723" s="28"/>
    </row>
    <row r="724" spans="10:14" x14ac:dyDescent="0.2">
      <c r="J724" s="206"/>
      <c r="K724" s="28"/>
      <c r="L724" s="28"/>
      <c r="M724" s="28"/>
      <c r="N724" s="28"/>
    </row>
    <row r="725" spans="10:14" x14ac:dyDescent="0.2">
      <c r="J725" s="206"/>
      <c r="K725" s="28"/>
      <c r="L725" s="28"/>
      <c r="M725" s="28"/>
      <c r="N725" s="28"/>
    </row>
    <row r="726" spans="10:14" x14ac:dyDescent="0.2">
      <c r="J726" s="206"/>
      <c r="K726" s="28"/>
      <c r="L726" s="28"/>
      <c r="M726" s="28"/>
      <c r="N726" s="28"/>
    </row>
    <row r="727" spans="10:14" x14ac:dyDescent="0.2">
      <c r="J727" s="206"/>
      <c r="K727" s="28"/>
      <c r="L727" s="28"/>
      <c r="M727" s="28"/>
      <c r="N727" s="28"/>
    </row>
    <row r="728" spans="10:14" x14ac:dyDescent="0.2">
      <c r="J728" s="206"/>
      <c r="K728" s="28"/>
      <c r="L728" s="28"/>
      <c r="M728" s="28"/>
      <c r="N728" s="28"/>
    </row>
    <row r="729" spans="10:14" x14ac:dyDescent="0.2">
      <c r="J729" s="206"/>
      <c r="K729" s="28"/>
      <c r="L729" s="28"/>
      <c r="M729" s="28"/>
      <c r="N729" s="28"/>
    </row>
    <row r="730" spans="10:14" x14ac:dyDescent="0.2">
      <c r="J730" s="206"/>
      <c r="K730" s="28"/>
      <c r="L730" s="28"/>
      <c r="M730" s="28"/>
      <c r="N730" s="28"/>
    </row>
    <row r="731" spans="10:14" x14ac:dyDescent="0.2">
      <c r="J731" s="206"/>
      <c r="K731" s="28"/>
      <c r="L731" s="28"/>
      <c r="M731" s="28"/>
      <c r="N731" s="28"/>
    </row>
    <row r="732" spans="10:14" x14ac:dyDescent="0.2">
      <c r="J732" s="206"/>
      <c r="K732" s="28"/>
      <c r="L732" s="28"/>
      <c r="M732" s="28"/>
      <c r="N732" s="28"/>
    </row>
    <row r="733" spans="10:14" x14ac:dyDescent="0.2">
      <c r="J733" s="206"/>
      <c r="K733" s="28"/>
      <c r="L733" s="28"/>
      <c r="M733" s="28"/>
      <c r="N733" s="28"/>
    </row>
    <row r="734" spans="10:14" x14ac:dyDescent="0.2">
      <c r="J734" s="206"/>
      <c r="K734" s="28"/>
      <c r="L734" s="28"/>
      <c r="M734" s="28"/>
      <c r="N734" s="28"/>
    </row>
    <row r="735" spans="10:14" x14ac:dyDescent="0.2">
      <c r="J735" s="206"/>
      <c r="K735" s="28"/>
      <c r="L735" s="28"/>
      <c r="M735" s="28"/>
      <c r="N735" s="28"/>
    </row>
    <row r="736" spans="10:14" x14ac:dyDescent="0.2">
      <c r="J736" s="206"/>
      <c r="K736" s="28"/>
      <c r="L736" s="28"/>
      <c r="M736" s="28"/>
      <c r="N736" s="28"/>
    </row>
    <row r="737" spans="10:14" x14ac:dyDescent="0.2">
      <c r="J737" s="206"/>
      <c r="K737" s="28"/>
      <c r="L737" s="28"/>
      <c r="M737" s="28"/>
      <c r="N737" s="28"/>
    </row>
    <row r="738" spans="10:14" x14ac:dyDescent="0.2">
      <c r="J738" s="206"/>
      <c r="K738" s="28"/>
      <c r="L738" s="28"/>
      <c r="M738" s="28"/>
      <c r="N738" s="28"/>
    </row>
    <row r="739" spans="10:14" x14ac:dyDescent="0.2">
      <c r="J739" s="206"/>
      <c r="K739" s="28"/>
      <c r="L739" s="28"/>
      <c r="M739" s="28"/>
      <c r="N739" s="28"/>
    </row>
    <row r="740" spans="10:14" x14ac:dyDescent="0.2">
      <c r="J740" s="206"/>
      <c r="K740" s="28"/>
      <c r="L740" s="28"/>
      <c r="M740" s="28"/>
      <c r="N740" s="28"/>
    </row>
    <row r="741" spans="10:14" x14ac:dyDescent="0.2">
      <c r="J741" s="206"/>
      <c r="K741" s="28"/>
      <c r="L741" s="28"/>
      <c r="M741" s="28"/>
      <c r="N741" s="28"/>
    </row>
    <row r="742" spans="10:14" x14ac:dyDescent="0.2">
      <c r="J742" s="206"/>
      <c r="K742" s="28"/>
      <c r="L742" s="28"/>
      <c r="M742" s="28"/>
      <c r="N742" s="28"/>
    </row>
    <row r="743" spans="10:14" x14ac:dyDescent="0.2">
      <c r="J743" s="206"/>
      <c r="K743" s="28"/>
      <c r="L743" s="28"/>
      <c r="M743" s="28"/>
      <c r="N743" s="28"/>
    </row>
    <row r="744" spans="10:14" x14ac:dyDescent="0.2">
      <c r="J744" s="206"/>
      <c r="K744" s="28"/>
      <c r="L744" s="28"/>
      <c r="M744" s="28"/>
      <c r="N744" s="28"/>
    </row>
    <row r="745" spans="10:14" x14ac:dyDescent="0.2">
      <c r="J745" s="206"/>
      <c r="K745" s="28"/>
      <c r="L745" s="28"/>
      <c r="M745" s="28"/>
      <c r="N745" s="28"/>
    </row>
    <row r="746" spans="10:14" x14ac:dyDescent="0.2">
      <c r="J746" s="206"/>
      <c r="K746" s="28"/>
      <c r="L746" s="28"/>
      <c r="M746" s="28"/>
      <c r="N746" s="28"/>
    </row>
    <row r="747" spans="10:14" x14ac:dyDescent="0.2">
      <c r="J747" s="206"/>
      <c r="K747" s="28"/>
      <c r="L747" s="28"/>
      <c r="M747" s="28"/>
      <c r="N747" s="28"/>
    </row>
    <row r="748" spans="10:14" x14ac:dyDescent="0.2">
      <c r="J748" s="206"/>
      <c r="K748" s="28"/>
      <c r="L748" s="28"/>
      <c r="M748" s="28"/>
      <c r="N748" s="28"/>
    </row>
    <row r="749" spans="10:14" x14ac:dyDescent="0.2">
      <c r="J749" s="206"/>
      <c r="K749" s="28"/>
      <c r="L749" s="28"/>
      <c r="M749" s="28"/>
      <c r="N749" s="28"/>
    </row>
    <row r="750" spans="10:14" x14ac:dyDescent="0.2">
      <c r="J750" s="206"/>
      <c r="K750" s="28"/>
      <c r="L750" s="28"/>
      <c r="M750" s="28"/>
      <c r="N750" s="28"/>
    </row>
    <row r="751" spans="10:14" x14ac:dyDescent="0.2">
      <c r="J751" s="206"/>
      <c r="K751" s="28"/>
      <c r="L751" s="28"/>
      <c r="M751" s="28"/>
      <c r="N751" s="28"/>
    </row>
    <row r="752" spans="10:14" x14ac:dyDescent="0.2">
      <c r="J752" s="206"/>
      <c r="K752" s="28"/>
      <c r="L752" s="28"/>
      <c r="M752" s="28"/>
      <c r="N752" s="28"/>
    </row>
    <row r="753" spans="10:14" x14ac:dyDescent="0.2">
      <c r="J753" s="206"/>
      <c r="K753" s="28"/>
      <c r="L753" s="28"/>
      <c r="M753" s="28"/>
      <c r="N753" s="28"/>
    </row>
    <row r="754" spans="10:14" x14ac:dyDescent="0.2">
      <c r="J754" s="206"/>
      <c r="K754" s="28"/>
      <c r="L754" s="28"/>
      <c r="M754" s="28"/>
      <c r="N754" s="28"/>
    </row>
    <row r="755" spans="10:14" x14ac:dyDescent="0.2">
      <c r="J755" s="206"/>
      <c r="K755" s="28"/>
      <c r="L755" s="28"/>
      <c r="M755" s="28"/>
      <c r="N755" s="28"/>
    </row>
    <row r="756" spans="10:14" x14ac:dyDescent="0.2">
      <c r="J756" s="206"/>
      <c r="K756" s="28"/>
      <c r="L756" s="28"/>
      <c r="M756" s="28"/>
      <c r="N756" s="28"/>
    </row>
    <row r="757" spans="10:14" x14ac:dyDescent="0.2">
      <c r="J757" s="206"/>
      <c r="K757" s="28"/>
      <c r="L757" s="28"/>
      <c r="M757" s="28"/>
      <c r="N757" s="28"/>
    </row>
    <row r="758" spans="10:14" x14ac:dyDescent="0.2">
      <c r="J758" s="206"/>
      <c r="K758" s="28"/>
      <c r="L758" s="28"/>
      <c r="M758" s="28"/>
      <c r="N758" s="28"/>
    </row>
    <row r="759" spans="10:14" x14ac:dyDescent="0.2">
      <c r="J759" s="206"/>
      <c r="K759" s="28"/>
      <c r="L759" s="28"/>
      <c r="M759" s="28"/>
      <c r="N759" s="28"/>
    </row>
    <row r="760" spans="10:14" x14ac:dyDescent="0.2">
      <c r="J760" s="206"/>
      <c r="K760" s="28"/>
      <c r="L760" s="28"/>
      <c r="M760" s="28"/>
      <c r="N760" s="28"/>
    </row>
    <row r="761" spans="10:14" x14ac:dyDescent="0.2">
      <c r="J761" s="206"/>
      <c r="K761" s="28"/>
      <c r="L761" s="28"/>
      <c r="M761" s="28"/>
      <c r="N761" s="28"/>
    </row>
    <row r="762" spans="10:14" x14ac:dyDescent="0.2">
      <c r="J762" s="206"/>
      <c r="K762" s="28"/>
      <c r="L762" s="28"/>
      <c r="M762" s="28"/>
      <c r="N762" s="28"/>
    </row>
    <row r="763" spans="10:14" x14ac:dyDescent="0.2">
      <c r="J763" s="206"/>
      <c r="K763" s="28"/>
      <c r="L763" s="28"/>
      <c r="M763" s="28"/>
      <c r="N763" s="28"/>
    </row>
    <row r="764" spans="10:14" x14ac:dyDescent="0.2">
      <c r="J764" s="206"/>
      <c r="K764" s="28"/>
      <c r="L764" s="28"/>
      <c r="M764" s="28"/>
      <c r="N764" s="28"/>
    </row>
    <row r="765" spans="10:14" x14ac:dyDescent="0.2">
      <c r="J765" s="206"/>
      <c r="K765" s="28"/>
      <c r="L765" s="28"/>
      <c r="M765" s="28"/>
      <c r="N765" s="28"/>
    </row>
    <row r="766" spans="10:14" x14ac:dyDescent="0.2">
      <c r="J766" s="206"/>
      <c r="K766" s="28"/>
      <c r="L766" s="28"/>
      <c r="M766" s="28"/>
      <c r="N766" s="28"/>
    </row>
    <row r="767" spans="10:14" x14ac:dyDescent="0.2">
      <c r="J767" s="206"/>
      <c r="K767" s="28"/>
      <c r="L767" s="28"/>
      <c r="M767" s="28"/>
      <c r="N767" s="28"/>
    </row>
    <row r="768" spans="10:14" x14ac:dyDescent="0.2">
      <c r="J768" s="206"/>
      <c r="K768" s="28"/>
      <c r="L768" s="28"/>
      <c r="M768" s="28"/>
      <c r="N768" s="28"/>
    </row>
    <row r="769" spans="10:14" x14ac:dyDescent="0.2">
      <c r="J769" s="206"/>
      <c r="K769" s="28"/>
      <c r="L769" s="28"/>
      <c r="M769" s="28"/>
      <c r="N769" s="28"/>
    </row>
    <row r="770" spans="10:14" x14ac:dyDescent="0.2">
      <c r="J770" s="206"/>
      <c r="K770" s="28"/>
      <c r="L770" s="28"/>
      <c r="M770" s="28"/>
      <c r="N770" s="28"/>
    </row>
    <row r="771" spans="10:14" x14ac:dyDescent="0.2">
      <c r="J771" s="206"/>
      <c r="K771" s="28"/>
      <c r="L771" s="28"/>
      <c r="M771" s="28"/>
      <c r="N771" s="28"/>
    </row>
    <row r="772" spans="10:14" x14ac:dyDescent="0.2">
      <c r="J772" s="206"/>
      <c r="K772" s="28"/>
      <c r="L772" s="28"/>
      <c r="M772" s="28"/>
      <c r="N772" s="28"/>
    </row>
    <row r="773" spans="10:14" x14ac:dyDescent="0.2">
      <c r="J773" s="206"/>
      <c r="K773" s="28"/>
      <c r="L773" s="28"/>
      <c r="M773" s="28"/>
      <c r="N773" s="28"/>
    </row>
    <row r="774" spans="10:14" x14ac:dyDescent="0.2">
      <c r="J774" s="206"/>
      <c r="K774" s="28"/>
      <c r="L774" s="28"/>
      <c r="M774" s="28"/>
      <c r="N774" s="28"/>
    </row>
    <row r="775" spans="10:14" x14ac:dyDescent="0.2">
      <c r="J775" s="206"/>
      <c r="K775" s="28"/>
      <c r="L775" s="28"/>
      <c r="M775" s="28"/>
      <c r="N775" s="28"/>
    </row>
    <row r="776" spans="10:14" x14ac:dyDescent="0.2">
      <c r="J776" s="206"/>
      <c r="K776" s="28"/>
      <c r="L776" s="28"/>
      <c r="M776" s="28"/>
      <c r="N776" s="28"/>
    </row>
    <row r="777" spans="10:14" x14ac:dyDescent="0.2">
      <c r="J777" s="206"/>
      <c r="K777" s="28"/>
      <c r="L777" s="28"/>
      <c r="M777" s="28"/>
      <c r="N777" s="28"/>
    </row>
    <row r="778" spans="10:14" x14ac:dyDescent="0.2">
      <c r="J778" s="206"/>
      <c r="K778" s="28"/>
      <c r="L778" s="28"/>
      <c r="M778" s="28"/>
      <c r="N778" s="28"/>
    </row>
    <row r="779" spans="10:14" x14ac:dyDescent="0.2">
      <c r="J779" s="206"/>
      <c r="K779" s="28"/>
      <c r="L779" s="28"/>
      <c r="M779" s="28"/>
      <c r="N779" s="28"/>
    </row>
    <row r="780" spans="10:14" x14ac:dyDescent="0.2">
      <c r="J780" s="206"/>
      <c r="K780" s="28"/>
      <c r="L780" s="28"/>
      <c r="M780" s="28"/>
      <c r="N780" s="28"/>
    </row>
    <row r="781" spans="10:14" x14ac:dyDescent="0.2">
      <c r="J781" s="206"/>
      <c r="K781" s="28"/>
      <c r="L781" s="28"/>
      <c r="M781" s="28"/>
      <c r="N781" s="28"/>
    </row>
    <row r="782" spans="10:14" x14ac:dyDescent="0.2">
      <c r="J782" s="206"/>
      <c r="K782" s="28"/>
      <c r="L782" s="28"/>
      <c r="M782" s="28"/>
      <c r="N782" s="28"/>
    </row>
    <row r="783" spans="10:14" x14ac:dyDescent="0.2">
      <c r="J783" s="206"/>
      <c r="K783" s="28"/>
      <c r="L783" s="28"/>
      <c r="M783" s="28"/>
      <c r="N783" s="28"/>
    </row>
    <row r="784" spans="10:14" x14ac:dyDescent="0.2">
      <c r="J784" s="206"/>
      <c r="K784" s="28"/>
      <c r="L784" s="28"/>
      <c r="M784" s="28"/>
      <c r="N784" s="28"/>
    </row>
    <row r="785" spans="10:14" x14ac:dyDescent="0.2">
      <c r="J785" s="206"/>
      <c r="K785" s="28"/>
      <c r="L785" s="28"/>
      <c r="M785" s="28"/>
      <c r="N785" s="28"/>
    </row>
    <row r="786" spans="10:14" x14ac:dyDescent="0.2">
      <c r="J786" s="206"/>
      <c r="K786" s="28"/>
      <c r="L786" s="28"/>
      <c r="M786" s="28"/>
      <c r="N786" s="28"/>
    </row>
    <row r="787" spans="10:14" x14ac:dyDescent="0.2">
      <c r="J787" s="206"/>
      <c r="K787" s="28"/>
      <c r="L787" s="28"/>
      <c r="M787" s="28"/>
      <c r="N787" s="28"/>
    </row>
    <row r="788" spans="10:14" x14ac:dyDescent="0.2">
      <c r="J788" s="206"/>
      <c r="K788" s="28"/>
      <c r="L788" s="28"/>
      <c r="M788" s="28"/>
      <c r="N788" s="28"/>
    </row>
    <row r="789" spans="10:14" x14ac:dyDescent="0.2">
      <c r="J789" s="206"/>
      <c r="K789" s="28"/>
      <c r="L789" s="28"/>
      <c r="M789" s="28"/>
      <c r="N789" s="28"/>
    </row>
    <row r="790" spans="10:14" x14ac:dyDescent="0.2">
      <c r="J790" s="206"/>
      <c r="K790" s="28"/>
      <c r="L790" s="28"/>
      <c r="M790" s="28"/>
      <c r="N790" s="28"/>
    </row>
    <row r="791" spans="10:14" x14ac:dyDescent="0.2">
      <c r="J791" s="206"/>
      <c r="K791" s="28"/>
      <c r="L791" s="28"/>
      <c r="M791" s="28"/>
      <c r="N791" s="28"/>
    </row>
    <row r="792" spans="10:14" x14ac:dyDescent="0.2">
      <c r="J792" s="206"/>
      <c r="K792" s="28"/>
      <c r="L792" s="28"/>
      <c r="M792" s="28"/>
      <c r="N792" s="28"/>
    </row>
    <row r="793" spans="10:14" x14ac:dyDescent="0.2">
      <c r="J793" s="206"/>
      <c r="K793" s="28"/>
      <c r="L793" s="28"/>
      <c r="M793" s="28"/>
      <c r="N793" s="28"/>
    </row>
    <row r="794" spans="10:14" x14ac:dyDescent="0.2">
      <c r="J794" s="206"/>
      <c r="K794" s="28"/>
      <c r="L794" s="28"/>
      <c r="M794" s="28"/>
      <c r="N794" s="28"/>
    </row>
    <row r="795" spans="10:14" x14ac:dyDescent="0.2">
      <c r="J795" s="206"/>
      <c r="K795" s="28"/>
      <c r="L795" s="28"/>
      <c r="M795" s="28"/>
      <c r="N795" s="28"/>
    </row>
    <row r="796" spans="10:14" x14ac:dyDescent="0.2">
      <c r="J796" s="206"/>
      <c r="K796" s="28"/>
      <c r="L796" s="28"/>
      <c r="M796" s="28"/>
      <c r="N796" s="28"/>
    </row>
    <row r="797" spans="10:14" x14ac:dyDescent="0.2">
      <c r="J797" s="206"/>
      <c r="K797" s="28"/>
      <c r="L797" s="28"/>
      <c r="M797" s="28"/>
      <c r="N797" s="28"/>
    </row>
    <row r="798" spans="10:14" x14ac:dyDescent="0.2">
      <c r="J798" s="206"/>
      <c r="K798" s="28"/>
      <c r="L798" s="28"/>
      <c r="M798" s="28"/>
      <c r="N798" s="28"/>
    </row>
    <row r="799" spans="10:14" x14ac:dyDescent="0.2">
      <c r="J799" s="206"/>
      <c r="K799" s="28"/>
      <c r="L799" s="28"/>
      <c r="M799" s="28"/>
      <c r="N799" s="28"/>
    </row>
    <row r="800" spans="10:14" x14ac:dyDescent="0.2">
      <c r="J800" s="206"/>
      <c r="K800" s="28"/>
      <c r="L800" s="28"/>
      <c r="M800" s="28"/>
      <c r="N800" s="28"/>
    </row>
    <row r="801" spans="10:14" x14ac:dyDescent="0.2">
      <c r="J801" s="206"/>
      <c r="K801" s="28"/>
      <c r="L801" s="28"/>
      <c r="M801" s="28"/>
      <c r="N801" s="28"/>
    </row>
    <row r="802" spans="10:14" x14ac:dyDescent="0.2">
      <c r="J802" s="206"/>
      <c r="K802" s="28"/>
      <c r="L802" s="28"/>
      <c r="M802" s="28"/>
      <c r="N802" s="28"/>
    </row>
    <row r="803" spans="10:14" x14ac:dyDescent="0.2">
      <c r="J803" s="206"/>
      <c r="K803" s="28"/>
      <c r="L803" s="28"/>
      <c r="M803" s="28"/>
      <c r="N803" s="28"/>
    </row>
    <row r="804" spans="10:14" x14ac:dyDescent="0.2">
      <c r="J804" s="206"/>
      <c r="K804" s="28"/>
      <c r="L804" s="28"/>
      <c r="M804" s="28"/>
      <c r="N804" s="28"/>
    </row>
    <row r="805" spans="10:14" x14ac:dyDescent="0.2">
      <c r="J805" s="206"/>
      <c r="K805" s="28"/>
      <c r="L805" s="28"/>
      <c r="M805" s="28"/>
      <c r="N805" s="28"/>
    </row>
    <row r="806" spans="10:14" x14ac:dyDescent="0.2">
      <c r="J806" s="206"/>
      <c r="K806" s="28"/>
      <c r="L806" s="28"/>
      <c r="M806" s="28"/>
      <c r="N806" s="28"/>
    </row>
    <row r="807" spans="10:14" x14ac:dyDescent="0.2">
      <c r="J807" s="206"/>
      <c r="K807" s="28"/>
      <c r="L807" s="28"/>
      <c r="M807" s="28"/>
      <c r="N807" s="28"/>
    </row>
    <row r="808" spans="10:14" x14ac:dyDescent="0.2">
      <c r="J808" s="206"/>
      <c r="K808" s="28"/>
      <c r="L808" s="28"/>
      <c r="M808" s="28"/>
      <c r="N808" s="28"/>
    </row>
    <row r="809" spans="10:14" x14ac:dyDescent="0.2">
      <c r="J809" s="206"/>
      <c r="K809" s="28"/>
      <c r="L809" s="28"/>
      <c r="M809" s="28"/>
      <c r="N809" s="28"/>
    </row>
    <row r="810" spans="10:14" x14ac:dyDescent="0.2">
      <c r="J810" s="206"/>
      <c r="K810" s="28"/>
      <c r="L810" s="28"/>
      <c r="M810" s="28"/>
      <c r="N810" s="28"/>
    </row>
    <row r="811" spans="10:14" x14ac:dyDescent="0.2">
      <c r="J811" s="206"/>
      <c r="K811" s="28"/>
      <c r="L811" s="28"/>
      <c r="M811" s="28"/>
      <c r="N811" s="28"/>
    </row>
    <row r="812" spans="10:14" x14ac:dyDescent="0.2">
      <c r="J812" s="206"/>
      <c r="K812" s="28"/>
      <c r="L812" s="28"/>
      <c r="M812" s="28"/>
      <c r="N812" s="28"/>
    </row>
    <row r="813" spans="10:14" x14ac:dyDescent="0.2">
      <c r="J813" s="206"/>
      <c r="K813" s="28"/>
      <c r="L813" s="28"/>
      <c r="M813" s="28"/>
      <c r="N813" s="28"/>
    </row>
    <row r="814" spans="10:14" x14ac:dyDescent="0.2">
      <c r="J814" s="206"/>
      <c r="K814" s="28"/>
      <c r="L814" s="28"/>
      <c r="M814" s="28"/>
      <c r="N814" s="28"/>
    </row>
    <row r="815" spans="10:14" x14ac:dyDescent="0.2">
      <c r="J815" s="206"/>
      <c r="K815" s="28"/>
      <c r="L815" s="28"/>
      <c r="M815" s="28"/>
      <c r="N815" s="28"/>
    </row>
    <row r="816" spans="10:14" x14ac:dyDescent="0.2">
      <c r="J816" s="206"/>
      <c r="K816" s="28"/>
      <c r="L816" s="28"/>
      <c r="M816" s="28"/>
      <c r="N816" s="28"/>
    </row>
    <row r="817" spans="9:14" x14ac:dyDescent="0.2">
      <c r="J817" s="206"/>
      <c r="K817" s="28"/>
      <c r="L817" s="28"/>
      <c r="M817" s="28"/>
      <c r="N817" s="28"/>
    </row>
    <row r="818" spans="9:14" x14ac:dyDescent="0.2">
      <c r="J818" s="206"/>
      <c r="K818" s="28"/>
      <c r="L818" s="28"/>
      <c r="M818" s="28"/>
      <c r="N818" s="28"/>
    </row>
    <row r="819" spans="9:14" x14ac:dyDescent="0.2">
      <c r="J819" s="206"/>
      <c r="K819" s="28"/>
      <c r="L819" s="28"/>
      <c r="M819" s="28"/>
      <c r="N819" s="28"/>
    </row>
    <row r="820" spans="9:14" x14ac:dyDescent="0.2">
      <c r="J820" s="206"/>
      <c r="K820" s="28"/>
      <c r="L820" s="28"/>
      <c r="M820" s="28"/>
      <c r="N820" s="28"/>
    </row>
    <row r="821" spans="9:14" x14ac:dyDescent="0.2">
      <c r="I821" s="205"/>
      <c r="J821" s="219"/>
      <c r="K821" s="220"/>
      <c r="L821" s="220"/>
      <c r="M821" s="220"/>
      <c r="N821" s="220"/>
    </row>
  </sheetData>
  <pageMargins left="0.7" right="0.7" top="0.75" bottom="0.75" header="0.3" footer="0.3"/>
  <drawing r:id="rId1"/>
  <picture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ACCE1-FDF8-4635-B9DC-684FDE802059}">
  <sheetPr codeName="Sheet21"/>
  <dimension ref="A1:L26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1" sqref="I21"/>
    </sheetView>
  </sheetViews>
  <sheetFormatPr baseColWidth="10" defaultColWidth="8.83203125" defaultRowHeight="15" x14ac:dyDescent="0.2"/>
  <cols>
    <col min="1" max="1" width="3" style="348" customWidth="1"/>
    <col min="3" max="3" width="55.33203125" customWidth="1"/>
    <col min="4" max="4" width="15" customWidth="1"/>
    <col min="7" max="7" width="21.6640625" customWidth="1"/>
    <col min="8" max="8" width="16" customWidth="1"/>
    <col min="9" max="9" width="17.1640625" customWidth="1"/>
    <col min="10" max="10" width="13.33203125" customWidth="1"/>
    <col min="11" max="11" width="18.33203125" customWidth="1"/>
  </cols>
  <sheetData>
    <row r="1" spans="2:12" s="348" customFormat="1" ht="12.75" customHeight="1" x14ac:dyDescent="0.2"/>
    <row r="2" spans="2:12" ht="29.5" customHeight="1" x14ac:dyDescent="0.2">
      <c r="B2" s="17"/>
      <c r="C2" s="17"/>
      <c r="D2" s="17"/>
      <c r="E2" s="17"/>
      <c r="F2" s="17"/>
      <c r="G2" s="17"/>
      <c r="H2" s="17"/>
      <c r="I2" s="17"/>
      <c r="J2" s="17"/>
    </row>
    <row r="3" spans="2:12" x14ac:dyDescent="0.2">
      <c r="B3" s="17"/>
      <c r="C3" s="24" t="s">
        <v>62</v>
      </c>
      <c r="D3" s="62">
        <v>4</v>
      </c>
      <c r="E3" s="24" t="s">
        <v>52</v>
      </c>
      <c r="F3" s="24"/>
      <c r="G3" s="3"/>
      <c r="H3" s="3"/>
      <c r="I3" s="3"/>
      <c r="J3" s="3"/>
      <c r="K3" s="3"/>
      <c r="L3" s="3"/>
    </row>
    <row r="4" spans="2:12" x14ac:dyDescent="0.2">
      <c r="B4" s="17"/>
      <c r="C4" s="24" t="s">
        <v>63</v>
      </c>
      <c r="D4" s="21">
        <v>240</v>
      </c>
      <c r="E4" s="24" t="s">
        <v>64</v>
      </c>
      <c r="F4" s="24"/>
      <c r="G4" s="3"/>
      <c r="H4" s="3"/>
      <c r="I4" s="3"/>
      <c r="J4" s="3"/>
      <c r="K4" s="3"/>
      <c r="L4" s="3"/>
    </row>
    <row r="5" spans="2:12" x14ac:dyDescent="0.2">
      <c r="B5" s="17"/>
      <c r="C5" s="24" t="s">
        <v>57</v>
      </c>
      <c r="D5" s="62">
        <v>5</v>
      </c>
      <c r="E5" s="24" t="s">
        <v>58</v>
      </c>
      <c r="F5" s="24"/>
      <c r="G5" s="3"/>
      <c r="H5" s="22"/>
      <c r="I5" s="221"/>
      <c r="J5" s="221"/>
      <c r="K5" s="221"/>
      <c r="L5" s="3"/>
    </row>
    <row r="6" spans="2:12" x14ac:dyDescent="0.2">
      <c r="B6" s="17"/>
      <c r="C6" s="24" t="s">
        <v>65</v>
      </c>
      <c r="D6" s="62">
        <v>12</v>
      </c>
      <c r="E6" s="24" t="s">
        <v>58</v>
      </c>
      <c r="F6" s="24"/>
      <c r="G6" s="3"/>
      <c r="H6" s="22"/>
      <c r="I6" s="221"/>
      <c r="J6" s="221"/>
      <c r="K6" s="221"/>
      <c r="L6" s="221"/>
    </row>
    <row r="7" spans="2:12" x14ac:dyDescent="0.2">
      <c r="B7" s="17"/>
      <c r="C7" s="24" t="s">
        <v>66</v>
      </c>
      <c r="D7" s="21">
        <v>4</v>
      </c>
      <c r="E7" s="24" t="s">
        <v>67</v>
      </c>
      <c r="F7" s="222"/>
      <c r="G7" s="3"/>
      <c r="H7" s="22"/>
      <c r="I7" s="221"/>
      <c r="J7" s="221"/>
      <c r="K7" s="221"/>
      <c r="L7" s="221"/>
    </row>
    <row r="8" spans="2:12" x14ac:dyDescent="0.2">
      <c r="B8" s="17"/>
      <c r="C8" s="17" t="s">
        <v>68</v>
      </c>
      <c r="D8" s="365">
        <v>30</v>
      </c>
      <c r="E8" s="17" t="s">
        <v>58</v>
      </c>
      <c r="F8" s="222"/>
      <c r="G8" s="3"/>
      <c r="H8" s="22"/>
      <c r="I8" s="221"/>
      <c r="J8" s="221"/>
      <c r="K8" s="221"/>
      <c r="L8" s="221"/>
    </row>
    <row r="9" spans="2:12" x14ac:dyDescent="0.2">
      <c r="B9" s="17"/>
      <c r="C9" s="24" t="s">
        <v>69</v>
      </c>
      <c r="D9" s="25">
        <f>SQRT(D3*D4*2*D5/D6)</f>
        <v>28.284271247461902</v>
      </c>
      <c r="E9" s="24" t="s">
        <v>52</v>
      </c>
      <c r="F9" s="24"/>
      <c r="G9" s="3"/>
      <c r="H9" s="22"/>
      <c r="I9" s="221"/>
      <c r="J9" s="221"/>
      <c r="K9" s="221"/>
      <c r="L9" s="221"/>
    </row>
    <row r="10" spans="2:12" x14ac:dyDescent="0.2">
      <c r="B10" s="17"/>
      <c r="C10" s="24" t="s">
        <v>70</v>
      </c>
      <c r="D10" s="25">
        <f>D4*D3/D9</f>
        <v>33.941125496954278</v>
      </c>
      <c r="E10" s="24" t="s">
        <v>71</v>
      </c>
      <c r="F10" s="24"/>
      <c r="G10" s="3"/>
      <c r="H10" s="22"/>
      <c r="I10" s="221"/>
      <c r="J10" s="221"/>
      <c r="K10" s="221"/>
      <c r="L10" s="221"/>
    </row>
    <row r="11" spans="2:12" x14ac:dyDescent="0.2">
      <c r="B11" s="17"/>
      <c r="C11" s="24"/>
      <c r="D11" s="223"/>
      <c r="E11" s="24"/>
      <c r="F11" s="24"/>
      <c r="G11" s="3"/>
      <c r="H11" s="22"/>
      <c r="I11" s="221"/>
      <c r="J11" s="221"/>
      <c r="K11" s="221"/>
      <c r="L11" s="221"/>
    </row>
    <row r="12" spans="2:12" x14ac:dyDescent="0.2">
      <c r="B12" s="17"/>
      <c r="C12" s="24"/>
      <c r="D12" s="24"/>
      <c r="E12" s="24"/>
      <c r="F12" s="24"/>
      <c r="G12" s="3"/>
      <c r="H12" s="22"/>
      <c r="I12" s="221"/>
      <c r="J12" s="221"/>
      <c r="K12" s="221"/>
      <c r="L12" s="221"/>
    </row>
    <row r="13" spans="2:12" x14ac:dyDescent="0.2">
      <c r="B13" s="17"/>
      <c r="C13" s="3"/>
      <c r="D13" s="438"/>
      <c r="E13" s="438"/>
      <c r="F13" s="438"/>
      <c r="G13" s="438"/>
      <c r="H13" s="438"/>
      <c r="I13" s="18"/>
      <c r="J13" s="18"/>
      <c r="K13" s="221"/>
      <c r="L13" s="221"/>
    </row>
    <row r="14" spans="2:12" x14ac:dyDescent="0.2">
      <c r="B14" s="17"/>
      <c r="C14" s="3" t="s">
        <v>72</v>
      </c>
      <c r="D14" s="438" t="s">
        <v>73</v>
      </c>
      <c r="E14" s="438"/>
      <c r="F14" s="438"/>
      <c r="G14" s="438"/>
      <c r="H14" s="438"/>
      <c r="I14" s="18" t="s">
        <v>74</v>
      </c>
      <c r="J14" s="18"/>
      <c r="K14" s="221"/>
      <c r="L14" s="221"/>
    </row>
    <row r="15" spans="2:12" x14ac:dyDescent="0.2">
      <c r="B15" s="17"/>
      <c r="C15" s="7" t="s">
        <v>75</v>
      </c>
      <c r="D15" s="7">
        <v>10</v>
      </c>
      <c r="E15" s="7">
        <v>20</v>
      </c>
      <c r="F15" s="7">
        <v>30</v>
      </c>
      <c r="G15" s="7">
        <v>40</v>
      </c>
      <c r="H15" s="7">
        <v>50</v>
      </c>
      <c r="I15" s="92" t="s">
        <v>76</v>
      </c>
      <c r="J15" s="18"/>
      <c r="K15" s="221"/>
      <c r="L15" s="221"/>
    </row>
    <row r="16" spans="2:12" x14ac:dyDescent="0.2">
      <c r="B16" s="17"/>
      <c r="C16" s="221">
        <v>0</v>
      </c>
      <c r="D16" s="224">
        <f>IF($C16&lt;D$15,(D$15-$C16)*$D$9*$D$8,($C16-D$15)*$D$6)</f>
        <v>8485.2813742385697</v>
      </c>
      <c r="E16" s="224">
        <f t="shared" ref="E16:H22" si="0">IF($C16&lt;E$15,(E$15-$C16)*$D$9*$D$8,($C16-E$15)*$D$6)</f>
        <v>16970.562748477139</v>
      </c>
      <c r="F16" s="224">
        <f t="shared" si="0"/>
        <v>25455.844122715713</v>
      </c>
      <c r="G16" s="224">
        <f t="shared" si="0"/>
        <v>33941.125496954279</v>
      </c>
      <c r="H16" s="224">
        <f>IF($C16&lt;H$15,(H$15-$C16)*$D$9*$D$8,($C16-H$15)*$D$6)</f>
        <v>42426.406871192856</v>
      </c>
      <c r="I16" s="224">
        <f>SUMPRODUCT(D16:H16,$D$23:$H$23)</f>
        <v>22061.731573020283</v>
      </c>
      <c r="J16" s="30"/>
      <c r="K16" s="221"/>
      <c r="L16" s="221"/>
    </row>
    <row r="17" spans="2:12" x14ac:dyDescent="0.2">
      <c r="B17" s="17"/>
      <c r="C17" s="221">
        <v>10</v>
      </c>
      <c r="D17" s="224">
        <f t="shared" ref="D17:D22" si="1">IF($C17&lt;D$15,(D$15-$C17)*$D$9*$D$8,($C17-D$15)*$D$6)</f>
        <v>0</v>
      </c>
      <c r="E17" s="224">
        <f t="shared" si="0"/>
        <v>8485.2813742385697</v>
      </c>
      <c r="F17" s="224">
        <f t="shared" si="0"/>
        <v>16970.562748477139</v>
      </c>
      <c r="G17" s="224">
        <f t="shared" si="0"/>
        <v>25455.844122715713</v>
      </c>
      <c r="H17" s="224">
        <f t="shared" si="0"/>
        <v>33941.125496954279</v>
      </c>
      <c r="I17" s="224">
        <f t="shared" ref="I17:I22" si="2">SUMPRODUCT(D17:H17,$D$23:$H$23)</f>
        <v>13576.450198781713</v>
      </c>
      <c r="J17" s="225"/>
      <c r="K17" s="221"/>
      <c r="L17" s="221"/>
    </row>
    <row r="18" spans="2:12" x14ac:dyDescent="0.2">
      <c r="B18" s="17"/>
      <c r="C18" s="221">
        <v>20</v>
      </c>
      <c r="D18" s="224">
        <f t="shared" si="1"/>
        <v>120</v>
      </c>
      <c r="E18" s="224">
        <f t="shared" si="0"/>
        <v>0</v>
      </c>
      <c r="F18" s="224">
        <f t="shared" si="0"/>
        <v>8485.2813742385697</v>
      </c>
      <c r="G18" s="224">
        <f t="shared" si="0"/>
        <v>16970.562748477139</v>
      </c>
      <c r="H18" s="224">
        <f t="shared" si="0"/>
        <v>25455.844122715713</v>
      </c>
      <c r="I18" s="224">
        <f t="shared" si="2"/>
        <v>6381.9610306789282</v>
      </c>
      <c r="J18" s="225"/>
      <c r="K18" s="221"/>
      <c r="L18" s="221"/>
    </row>
    <row r="19" spans="2:12" x14ac:dyDescent="0.2">
      <c r="B19" s="17"/>
      <c r="C19" s="221">
        <v>30</v>
      </c>
      <c r="D19" s="224">
        <f t="shared" si="1"/>
        <v>240</v>
      </c>
      <c r="E19" s="224">
        <f t="shared" si="0"/>
        <v>120</v>
      </c>
      <c r="F19" s="224">
        <f t="shared" si="0"/>
        <v>0</v>
      </c>
      <c r="G19" s="224">
        <f t="shared" si="0"/>
        <v>8485.2813742385697</v>
      </c>
      <c r="H19" s="224">
        <f t="shared" si="0"/>
        <v>16970.562748477139</v>
      </c>
      <c r="I19" s="224">
        <f t="shared" si="2"/>
        <v>1769.0562748477141</v>
      </c>
      <c r="J19" s="225"/>
      <c r="K19" s="221"/>
      <c r="L19" s="221"/>
    </row>
    <row r="20" spans="2:12" x14ac:dyDescent="0.2">
      <c r="B20" s="17"/>
      <c r="C20" s="221">
        <v>40</v>
      </c>
      <c r="D20" s="224">
        <f t="shared" si="1"/>
        <v>360</v>
      </c>
      <c r="E20" s="224">
        <f t="shared" si="0"/>
        <v>240</v>
      </c>
      <c r="F20" s="224">
        <f t="shared" si="0"/>
        <v>120</v>
      </c>
      <c r="G20" s="224">
        <f t="shared" si="0"/>
        <v>0</v>
      </c>
      <c r="H20" s="224">
        <f t="shared" si="0"/>
        <v>8485.2813742385697</v>
      </c>
      <c r="I20" s="224">
        <f t="shared" si="2"/>
        <v>598.26406871192853</v>
      </c>
      <c r="J20" s="225"/>
      <c r="K20" s="22"/>
      <c r="L20" s="221"/>
    </row>
    <row r="21" spans="2:12" x14ac:dyDescent="0.2">
      <c r="B21" s="17"/>
      <c r="C21" s="422">
        <v>50</v>
      </c>
      <c r="D21" s="224">
        <f>IF($C21&lt;D$15,(D$15-$C21)*$D$9*$D$8,($C21-D$15)*$D$6)</f>
        <v>480</v>
      </c>
      <c r="E21" s="224">
        <f t="shared" si="0"/>
        <v>360</v>
      </c>
      <c r="F21" s="224">
        <f t="shared" si="0"/>
        <v>240</v>
      </c>
      <c r="G21" s="224">
        <f t="shared" si="0"/>
        <v>120</v>
      </c>
      <c r="H21" s="224">
        <f t="shared" si="0"/>
        <v>0</v>
      </c>
      <c r="I21" s="224">
        <f t="shared" si="2"/>
        <v>288</v>
      </c>
      <c r="J21" s="30"/>
      <c r="K21" s="1"/>
      <c r="L21" s="1"/>
    </row>
    <row r="22" spans="2:12" x14ac:dyDescent="0.2">
      <c r="B22" s="17"/>
      <c r="C22" s="368">
        <v>60</v>
      </c>
      <c r="D22" s="224">
        <f t="shared" si="1"/>
        <v>600</v>
      </c>
      <c r="E22" s="224">
        <f t="shared" si="0"/>
        <v>480</v>
      </c>
      <c r="F22" s="224">
        <f t="shared" si="0"/>
        <v>360</v>
      </c>
      <c r="G22" s="224">
        <f t="shared" si="0"/>
        <v>240</v>
      </c>
      <c r="H22" s="224">
        <f t="shared" si="0"/>
        <v>120</v>
      </c>
      <c r="I22" s="224">
        <f t="shared" si="2"/>
        <v>408</v>
      </c>
      <c r="J22" s="225"/>
    </row>
    <row r="23" spans="2:12" x14ac:dyDescent="0.2">
      <c r="B23" s="17"/>
      <c r="C23" s="18"/>
      <c r="D23" s="18">
        <v>0.15</v>
      </c>
      <c r="E23" s="18">
        <v>0.3</v>
      </c>
      <c r="F23" s="361">
        <v>0.4</v>
      </c>
      <c r="G23" s="18">
        <v>0.1</v>
      </c>
      <c r="H23" s="18">
        <v>0.05</v>
      </c>
      <c r="I23" s="18"/>
      <c r="J23" s="17"/>
    </row>
    <row r="24" spans="2:12" x14ac:dyDescent="0.2">
      <c r="B24" s="17"/>
      <c r="C24" s="17"/>
      <c r="D24" s="17"/>
      <c r="E24" s="17"/>
      <c r="F24" s="17"/>
      <c r="G24" s="17"/>
      <c r="H24" s="17"/>
      <c r="I24" s="17"/>
      <c r="J24" s="17"/>
    </row>
    <row r="25" spans="2:12" x14ac:dyDescent="0.2">
      <c r="B25" s="17"/>
      <c r="C25" s="17"/>
      <c r="D25" s="17"/>
      <c r="E25" s="17"/>
      <c r="F25" s="17"/>
      <c r="G25" s="17"/>
      <c r="H25" s="17"/>
      <c r="I25" s="17"/>
      <c r="J25" s="17"/>
    </row>
    <row r="26" spans="2:12" x14ac:dyDescent="0.2">
      <c r="J26" s="17"/>
    </row>
  </sheetData>
  <mergeCells count="2">
    <mergeCell ref="D13:H13"/>
    <mergeCell ref="D14:H14"/>
  </mergeCells>
  <pageMargins left="0.7" right="0.7" top="0.75" bottom="0.75" header="0.3" footer="0.3"/>
  <drawing r:id="rId1"/>
  <picture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7151F-A9A9-413E-9005-B20F5186F961}">
  <sheetPr codeName="Sheet23">
    <pageSetUpPr fitToPage="1"/>
  </sheetPr>
  <dimension ref="A1:H16"/>
  <sheetViews>
    <sheetView showGridLines="0" zoomScale="110" zoomScaleNormal="140" zoomScalePageLayoutView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4" sqref="D14"/>
    </sheetView>
  </sheetViews>
  <sheetFormatPr baseColWidth="10" defaultColWidth="14" defaultRowHeight="15" x14ac:dyDescent="0.2"/>
  <cols>
    <col min="1" max="1" width="2.83203125" style="348" customWidth="1"/>
    <col min="2" max="2" width="5.6640625" customWidth="1"/>
    <col min="4" max="4" width="23.33203125" customWidth="1"/>
    <col min="5" max="5" width="21" customWidth="1"/>
    <col min="6" max="6" width="12" customWidth="1"/>
  </cols>
  <sheetData>
    <row r="1" spans="2:8" s="348" customFormat="1" ht="13.25" customHeight="1" x14ac:dyDescent="0.2"/>
    <row r="2" spans="2:8" ht="22.25" customHeight="1" x14ac:dyDescent="0.2">
      <c r="B2" s="17"/>
      <c r="C2" s="17"/>
      <c r="D2" s="17"/>
      <c r="E2" s="17"/>
      <c r="F2" s="17"/>
      <c r="G2" s="17"/>
      <c r="H2" s="17"/>
    </row>
    <row r="3" spans="2:8" x14ac:dyDescent="0.2">
      <c r="B3" s="17"/>
      <c r="C3" s="17" t="s">
        <v>77</v>
      </c>
      <c r="D3" s="17"/>
      <c r="E3" s="17"/>
      <c r="F3" s="17">
        <v>200</v>
      </c>
      <c r="G3" s="17" t="s">
        <v>52</v>
      </c>
      <c r="H3" s="17"/>
    </row>
    <row r="4" spans="2:8" x14ac:dyDescent="0.2">
      <c r="B4" s="17"/>
      <c r="C4" s="17" t="s">
        <v>78</v>
      </c>
      <c r="D4" s="17"/>
      <c r="E4" s="17"/>
      <c r="F4" s="17">
        <v>25</v>
      </c>
      <c r="G4" s="17" t="s">
        <v>52</v>
      </c>
      <c r="H4" s="17"/>
    </row>
    <row r="5" spans="2:8" x14ac:dyDescent="0.2">
      <c r="B5" s="17"/>
      <c r="C5" s="17" t="s">
        <v>79</v>
      </c>
      <c r="D5" s="17"/>
      <c r="E5" s="17"/>
      <c r="F5" s="17">
        <v>20</v>
      </c>
      <c r="G5" s="17" t="s">
        <v>58</v>
      </c>
      <c r="H5" s="17"/>
    </row>
    <row r="6" spans="2:8" x14ac:dyDescent="0.2">
      <c r="B6" s="17"/>
      <c r="C6" s="115"/>
      <c r="D6" s="115"/>
      <c r="E6" s="115"/>
      <c r="F6" s="115"/>
      <c r="G6" s="17"/>
      <c r="H6" s="17"/>
    </row>
    <row r="7" spans="2:8" x14ac:dyDescent="0.2">
      <c r="B7" s="17"/>
      <c r="C7" s="18"/>
      <c r="D7" s="17"/>
      <c r="E7" s="17"/>
      <c r="F7" s="18"/>
      <c r="G7" s="17"/>
      <c r="H7" s="17"/>
    </row>
    <row r="8" spans="2:8" x14ac:dyDescent="0.2">
      <c r="B8" s="17"/>
      <c r="C8" s="371" t="s">
        <v>80</v>
      </c>
      <c r="D8" s="18" t="s">
        <v>81</v>
      </c>
      <c r="E8" s="18"/>
      <c r="F8" s="18"/>
      <c r="G8" s="17"/>
      <c r="H8" s="17"/>
    </row>
    <row r="9" spans="2:8" x14ac:dyDescent="0.2">
      <c r="B9" s="17"/>
      <c r="C9" s="372" t="s">
        <v>82</v>
      </c>
      <c r="D9" s="92" t="s">
        <v>83</v>
      </c>
      <c r="E9" s="92" t="s">
        <v>84</v>
      </c>
      <c r="F9" s="92" t="s">
        <v>85</v>
      </c>
      <c r="G9" s="17"/>
      <c r="H9" s="17"/>
    </row>
    <row r="10" spans="2:8" x14ac:dyDescent="0.2">
      <c r="B10" s="17"/>
      <c r="C10" s="369">
        <v>0.99</v>
      </c>
      <c r="D10" s="25">
        <f>_xlfn.NORM.INV(C10,$F$3,$F$4)</f>
        <v>258.15869685102103</v>
      </c>
      <c r="E10" s="25">
        <f>D10-$F$3</f>
        <v>58.158696851021034</v>
      </c>
      <c r="F10" s="25">
        <f>E10*F5</f>
        <v>1163.1739370204207</v>
      </c>
      <c r="G10" s="17"/>
      <c r="H10" s="17"/>
    </row>
    <row r="11" spans="2:8" x14ac:dyDescent="0.2">
      <c r="B11" s="17"/>
      <c r="C11" s="370">
        <v>0.999</v>
      </c>
      <c r="D11" s="25">
        <f>_xlfn.NORM.INV(C11,$F$3,$F$4)</f>
        <v>277.25580765419534</v>
      </c>
      <c r="E11" s="25">
        <f>D11-$F$3</f>
        <v>77.255807654195337</v>
      </c>
      <c r="F11" s="25">
        <f>E11*F5</f>
        <v>1545.1161530839067</v>
      </c>
      <c r="G11" s="17"/>
      <c r="H11" s="17"/>
    </row>
    <row r="12" spans="2:8" x14ac:dyDescent="0.2">
      <c r="B12" s="17"/>
      <c r="C12" s="18"/>
      <c r="D12" s="18"/>
      <c r="E12" s="18"/>
      <c r="F12" s="18"/>
      <c r="G12" s="17"/>
      <c r="H12" s="17"/>
    </row>
    <row r="13" spans="2:8" x14ac:dyDescent="0.2">
      <c r="B13" s="17"/>
      <c r="C13" s="17" t="s">
        <v>86</v>
      </c>
      <c r="D13" s="17"/>
      <c r="E13" s="17"/>
      <c r="F13" s="17"/>
      <c r="G13" s="17"/>
      <c r="H13" s="17"/>
    </row>
    <row r="14" spans="2:8" x14ac:dyDescent="0.2">
      <c r="B14" s="17"/>
      <c r="C14" s="17" t="s">
        <v>87</v>
      </c>
      <c r="D14" s="418">
        <f>F11-F10</f>
        <v>381.94221606348606</v>
      </c>
      <c r="E14" s="17"/>
      <c r="F14" s="17"/>
      <c r="G14" s="17"/>
      <c r="H14" s="17"/>
    </row>
    <row r="15" spans="2:8" x14ac:dyDescent="0.2">
      <c r="B15" s="17"/>
      <c r="C15" s="17"/>
      <c r="D15" s="17"/>
      <c r="E15" s="17"/>
      <c r="F15" s="17"/>
      <c r="G15" s="17"/>
      <c r="H15" s="17"/>
    </row>
    <row r="16" spans="2:8" x14ac:dyDescent="0.2">
      <c r="B16" s="17"/>
      <c r="C16" s="17"/>
      <c r="D16" s="17"/>
      <c r="E16" s="17"/>
      <c r="F16" s="17"/>
      <c r="G16" s="17"/>
      <c r="H16" s="17"/>
    </row>
  </sheetData>
  <pageMargins left="0.7" right="0.7" top="0.75" bottom="0.75" header="0.3" footer="0.3"/>
  <pageSetup paperSize="9" scale="87" orientation="landscape" r:id="rId1"/>
  <picture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3234-742D-4776-9017-28D8E1AB03D7}">
  <sheetPr codeName="Sheet9"/>
  <dimension ref="A1:V4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8" sqref="J18"/>
    </sheetView>
  </sheetViews>
  <sheetFormatPr baseColWidth="10" defaultColWidth="7.83203125" defaultRowHeight="16" x14ac:dyDescent="0.2"/>
  <cols>
    <col min="1" max="1" width="2.83203125" style="354" customWidth="1"/>
    <col min="2" max="2" width="23.1640625" style="63" customWidth="1"/>
    <col min="3" max="3" width="18.33203125" style="63" customWidth="1"/>
    <col min="4" max="4" width="23.1640625" style="63" customWidth="1"/>
    <col min="5" max="6" width="13.6640625" style="63" customWidth="1"/>
    <col min="7" max="7" width="15" style="63" customWidth="1"/>
    <col min="8" max="19" width="13.6640625" style="63" customWidth="1"/>
    <col min="20" max="16384" width="7.83203125" style="63"/>
  </cols>
  <sheetData>
    <row r="1" spans="1:22" s="354" customFormat="1" x14ac:dyDescent="0.2">
      <c r="A1" s="348"/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51"/>
      <c r="M1" s="351"/>
      <c r="N1" s="350"/>
      <c r="O1" s="350"/>
      <c r="P1" s="350"/>
      <c r="Q1" s="350"/>
      <c r="R1" s="350"/>
      <c r="S1" s="350"/>
      <c r="T1" s="350"/>
      <c r="U1" s="350"/>
      <c r="V1" s="350"/>
    </row>
    <row r="2" spans="1:22" x14ac:dyDescent="0.2">
      <c r="A2" s="348"/>
      <c r="B2" s="17"/>
      <c r="C2" s="91"/>
      <c r="D2" s="17"/>
      <c r="E2" s="17"/>
      <c r="F2" s="17"/>
      <c r="G2" s="17"/>
      <c r="H2" s="17"/>
      <c r="I2" s="17"/>
      <c r="J2" s="17"/>
      <c r="K2" s="17"/>
      <c r="L2" s="6"/>
      <c r="M2" s="6"/>
      <c r="N2" s="5"/>
      <c r="O2" s="5"/>
      <c r="P2" s="5"/>
      <c r="Q2" s="5"/>
      <c r="R2" s="5"/>
      <c r="S2" s="5"/>
      <c r="T2" s="5"/>
      <c r="U2" s="5"/>
      <c r="V2" s="5"/>
    </row>
    <row r="3" spans="1:22" x14ac:dyDescent="0.2">
      <c r="A3" s="348"/>
      <c r="B3" s="17"/>
      <c r="C3" s="91" t="s">
        <v>89</v>
      </c>
      <c r="D3" s="17"/>
      <c r="E3" s="17"/>
      <c r="F3" s="17"/>
      <c r="G3" s="17"/>
      <c r="H3" s="17"/>
      <c r="I3" s="17"/>
      <c r="J3" s="17"/>
      <c r="K3" s="17"/>
      <c r="L3"/>
      <c r="M3" s="6"/>
      <c r="N3" s="373"/>
      <c r="O3" s="5"/>
      <c r="P3" s="5"/>
      <c r="Q3" s="5"/>
      <c r="R3" s="5"/>
      <c r="S3" s="5"/>
      <c r="T3" s="5"/>
      <c r="U3" s="5"/>
      <c r="V3" s="5"/>
    </row>
    <row r="4" spans="1:22" ht="32" x14ac:dyDescent="0.2">
      <c r="A4" s="348"/>
      <c r="B4" s="17"/>
      <c r="C4" s="440" t="s">
        <v>88</v>
      </c>
      <c r="D4" s="440"/>
      <c r="E4" s="440"/>
      <c r="F4" s="92" t="s">
        <v>90</v>
      </c>
      <c r="G4" s="96" t="s">
        <v>91</v>
      </c>
      <c r="H4" s="96" t="s">
        <v>92</v>
      </c>
      <c r="I4" s="96" t="s">
        <v>93</v>
      </c>
      <c r="J4" s="96" t="s">
        <v>94</v>
      </c>
      <c r="K4" s="17"/>
      <c r="L4"/>
      <c r="M4" s="6"/>
      <c r="N4" s="373"/>
      <c r="O4" s="5"/>
      <c r="P4" s="5"/>
      <c r="Q4" s="5"/>
      <c r="R4" s="5"/>
      <c r="S4" s="5"/>
      <c r="T4" s="5"/>
      <c r="U4" s="5"/>
      <c r="V4" s="5"/>
    </row>
    <row r="5" spans="1:22" x14ac:dyDescent="0.2">
      <c r="A5" s="348"/>
      <c r="B5" s="17"/>
      <c r="C5" s="18">
        <v>1</v>
      </c>
      <c r="D5" s="18"/>
      <c r="E5" s="18"/>
      <c r="F5" s="18" t="s">
        <v>95</v>
      </c>
      <c r="G5" s="18">
        <v>2</v>
      </c>
      <c r="H5" s="86">
        <f>2</f>
        <v>2</v>
      </c>
      <c r="I5" s="18">
        <v>93.32</v>
      </c>
      <c r="J5" s="86">
        <f>H5*I5</f>
        <v>186.64</v>
      </c>
      <c r="K5" s="17"/>
      <c r="L5"/>
      <c r="M5" s="6"/>
      <c r="N5" s="373"/>
      <c r="O5" s="5"/>
      <c r="P5" s="5"/>
      <c r="Q5" s="5"/>
      <c r="R5" s="5"/>
      <c r="S5" s="5"/>
      <c r="T5" s="5"/>
      <c r="U5" s="5"/>
      <c r="V5" s="5"/>
    </row>
    <row r="6" spans="1:22" x14ac:dyDescent="0.2">
      <c r="A6" s="348"/>
      <c r="B6" s="17"/>
      <c r="C6" s="18"/>
      <c r="D6" s="18">
        <v>2</v>
      </c>
      <c r="E6" s="18"/>
      <c r="F6" s="18" t="s">
        <v>96</v>
      </c>
      <c r="G6" s="18">
        <v>6</v>
      </c>
      <c r="H6" s="86">
        <f>G5*G6</f>
        <v>12</v>
      </c>
      <c r="I6" s="18">
        <v>42.62</v>
      </c>
      <c r="J6" s="86">
        <f t="shared" ref="J6:J16" si="0">H6*I6</f>
        <v>511.43999999999994</v>
      </c>
      <c r="K6" s="17"/>
      <c r="L6"/>
      <c r="M6" s="6"/>
      <c r="N6" s="373"/>
      <c r="O6" s="5"/>
      <c r="P6" s="5"/>
      <c r="Q6" s="5"/>
      <c r="R6" s="5"/>
      <c r="S6" s="5"/>
      <c r="T6" s="5"/>
      <c r="U6" s="5"/>
      <c r="V6" s="5"/>
    </row>
    <row r="7" spans="1:22" x14ac:dyDescent="0.2">
      <c r="A7" s="348"/>
      <c r="B7" s="17"/>
      <c r="C7" s="18"/>
      <c r="D7" s="18"/>
      <c r="E7" s="18">
        <v>3</v>
      </c>
      <c r="F7" s="18" t="s">
        <v>97</v>
      </c>
      <c r="G7" s="18">
        <v>4</v>
      </c>
      <c r="H7" s="86">
        <f>G5*G6*G7</f>
        <v>48</v>
      </c>
      <c r="I7" s="18">
        <v>26.37</v>
      </c>
      <c r="J7" s="86">
        <f t="shared" si="0"/>
        <v>1265.76</v>
      </c>
      <c r="K7" s="17"/>
      <c r="L7" s="6"/>
      <c r="M7" s="6"/>
      <c r="N7" s="5"/>
      <c r="O7" s="5"/>
      <c r="P7" s="5"/>
      <c r="Q7" s="5"/>
      <c r="R7" s="5"/>
      <c r="S7" s="5"/>
      <c r="T7" s="5"/>
      <c r="U7" s="5"/>
      <c r="V7" s="5"/>
    </row>
    <row r="8" spans="1:22" x14ac:dyDescent="0.2">
      <c r="A8" s="348"/>
      <c r="B8" s="17"/>
      <c r="C8" s="18"/>
      <c r="D8" s="18"/>
      <c r="E8" s="18">
        <v>3</v>
      </c>
      <c r="F8" s="18" t="s">
        <v>98</v>
      </c>
      <c r="G8" s="18">
        <v>12</v>
      </c>
      <c r="H8" s="86">
        <f>G5*G6*G8</f>
        <v>144</v>
      </c>
      <c r="I8" s="18">
        <v>5.23</v>
      </c>
      <c r="J8" s="86">
        <f t="shared" si="0"/>
        <v>753.12000000000012</v>
      </c>
      <c r="K8" s="17"/>
      <c r="L8" s="374"/>
      <c r="M8" s="6"/>
      <c r="N8" s="5"/>
      <c r="O8" s="5"/>
      <c r="P8" s="5"/>
      <c r="Q8" s="5"/>
      <c r="R8" s="5"/>
      <c r="S8" s="5"/>
      <c r="T8" s="5"/>
      <c r="U8" s="5"/>
      <c r="V8" s="5"/>
    </row>
    <row r="9" spans="1:22" x14ac:dyDescent="0.2">
      <c r="A9" s="348"/>
      <c r="B9" s="17"/>
      <c r="C9" s="18"/>
      <c r="D9" s="18">
        <v>2</v>
      </c>
      <c r="E9" s="18"/>
      <c r="F9" s="18" t="s">
        <v>99</v>
      </c>
      <c r="G9" s="18">
        <v>6</v>
      </c>
      <c r="H9" s="86">
        <f>G5*G9</f>
        <v>12</v>
      </c>
      <c r="I9" s="18">
        <v>12.75</v>
      </c>
      <c r="J9" s="86">
        <f t="shared" si="0"/>
        <v>153</v>
      </c>
      <c r="K9" s="17"/>
      <c r="L9"/>
      <c r="M9" s="6"/>
      <c r="N9" s="373"/>
      <c r="O9" s="5"/>
      <c r="P9" s="5"/>
      <c r="Q9" s="5"/>
      <c r="R9" s="5"/>
      <c r="S9" s="5"/>
      <c r="T9" s="5"/>
      <c r="U9" s="5"/>
      <c r="V9" s="5"/>
    </row>
    <row r="10" spans="1:22" x14ac:dyDescent="0.2">
      <c r="A10" s="348"/>
      <c r="B10" s="17"/>
      <c r="C10" s="18"/>
      <c r="D10" s="18">
        <v>2</v>
      </c>
      <c r="E10" s="18"/>
      <c r="F10" s="18" t="s">
        <v>100</v>
      </c>
      <c r="G10" s="18">
        <v>2</v>
      </c>
      <c r="H10" s="86">
        <f>G5*G10</f>
        <v>4</v>
      </c>
      <c r="I10" s="18">
        <v>6.21</v>
      </c>
      <c r="J10" s="86">
        <f t="shared" si="0"/>
        <v>24.84</v>
      </c>
      <c r="K10" s="17"/>
      <c r="L10"/>
      <c r="M10" s="6"/>
      <c r="N10" s="373"/>
      <c r="O10" s="5"/>
      <c r="P10" s="5"/>
      <c r="Q10" s="5"/>
      <c r="R10" s="5"/>
      <c r="S10" s="5"/>
      <c r="T10" s="5"/>
      <c r="U10" s="5"/>
      <c r="V10" s="5"/>
    </row>
    <row r="11" spans="1:22" x14ac:dyDescent="0.2">
      <c r="A11" s="348"/>
      <c r="B11" s="17"/>
      <c r="C11" s="93">
        <v>1</v>
      </c>
      <c r="D11" s="93"/>
      <c r="E11" s="93"/>
      <c r="F11" s="93" t="s">
        <v>101</v>
      </c>
      <c r="G11" s="93">
        <v>3</v>
      </c>
      <c r="H11" s="94">
        <v>3</v>
      </c>
      <c r="I11" s="93">
        <v>26.64</v>
      </c>
      <c r="J11" s="86">
        <f t="shared" si="0"/>
        <v>79.92</v>
      </c>
      <c r="K11" s="17"/>
      <c r="L11"/>
      <c r="M11" s="6"/>
      <c r="N11" s="373"/>
      <c r="O11" s="5"/>
      <c r="P11" s="5"/>
      <c r="Q11" s="5"/>
      <c r="R11" s="5"/>
      <c r="S11" s="5"/>
      <c r="T11" s="5"/>
      <c r="U11" s="5"/>
      <c r="V11" s="5"/>
    </row>
    <row r="12" spans="1:22" x14ac:dyDescent="0.2">
      <c r="A12" s="348"/>
      <c r="B12" s="17"/>
      <c r="C12" s="18">
        <v>1</v>
      </c>
      <c r="D12" s="18"/>
      <c r="E12" s="18"/>
      <c r="F12" s="18" t="s">
        <v>102</v>
      </c>
      <c r="G12" s="18">
        <v>6</v>
      </c>
      <c r="H12" s="86">
        <v>6</v>
      </c>
      <c r="I12" s="18">
        <v>73.239999999999995</v>
      </c>
      <c r="J12" s="86">
        <f t="shared" si="0"/>
        <v>439.43999999999994</v>
      </c>
      <c r="K12" s="17"/>
      <c r="L12"/>
      <c r="M12" s="6"/>
      <c r="N12" s="373"/>
      <c r="O12" s="5"/>
      <c r="P12" s="5"/>
      <c r="Q12" s="5"/>
      <c r="R12" s="5"/>
      <c r="S12" s="5"/>
      <c r="T12" s="5"/>
      <c r="U12" s="5"/>
      <c r="V12" s="5"/>
    </row>
    <row r="13" spans="1:22" x14ac:dyDescent="0.2">
      <c r="A13" s="348"/>
      <c r="B13" s="17"/>
      <c r="C13" s="18"/>
      <c r="D13" s="18">
        <v>2</v>
      </c>
      <c r="E13" s="18"/>
      <c r="F13" s="18" t="s">
        <v>103</v>
      </c>
      <c r="G13" s="18">
        <v>13</v>
      </c>
      <c r="H13" s="86">
        <f>G12*G13</f>
        <v>78</v>
      </c>
      <c r="I13" s="18">
        <v>25.12</v>
      </c>
      <c r="J13" s="86">
        <f t="shared" si="0"/>
        <v>1959.3600000000001</v>
      </c>
      <c r="K13" s="17"/>
      <c r="L13"/>
      <c r="M13" s="6"/>
      <c r="N13" s="373"/>
      <c r="O13" s="5"/>
      <c r="P13" s="5"/>
      <c r="Q13" s="5"/>
      <c r="R13" s="5"/>
      <c r="S13" s="5"/>
      <c r="T13" s="5"/>
      <c r="U13" s="5"/>
      <c r="V13" s="5"/>
    </row>
    <row r="14" spans="1:22" x14ac:dyDescent="0.2">
      <c r="A14" s="348"/>
      <c r="B14" s="17"/>
      <c r="C14" s="92"/>
      <c r="D14" s="92"/>
      <c r="E14" s="92">
        <v>3</v>
      </c>
      <c r="F14" s="92" t="s">
        <v>104</v>
      </c>
      <c r="G14" s="92">
        <v>4</v>
      </c>
      <c r="H14" s="95">
        <f>G12*G13*G14</f>
        <v>312</v>
      </c>
      <c r="I14" s="92">
        <v>7.57</v>
      </c>
      <c r="J14" s="86">
        <f t="shared" si="0"/>
        <v>2361.84</v>
      </c>
      <c r="K14" s="17"/>
      <c r="L14"/>
      <c r="M14" s="6"/>
      <c r="N14" s="373"/>
      <c r="O14" s="5"/>
      <c r="P14" s="5"/>
      <c r="Q14" s="5"/>
      <c r="R14" s="5"/>
      <c r="S14" s="5"/>
      <c r="T14" s="5"/>
      <c r="U14" s="5"/>
      <c r="V14" s="5"/>
    </row>
    <row r="15" spans="1:22" x14ac:dyDescent="0.2">
      <c r="A15" s="348"/>
      <c r="B15" s="17"/>
      <c r="C15" s="18">
        <v>1</v>
      </c>
      <c r="D15" s="18"/>
      <c r="E15" s="18"/>
      <c r="F15" s="18" t="s">
        <v>105</v>
      </c>
      <c r="G15" s="18">
        <v>9</v>
      </c>
      <c r="H15" s="86">
        <f>9</f>
        <v>9</v>
      </c>
      <c r="I15" s="18">
        <v>23.42</v>
      </c>
      <c r="J15" s="86">
        <f t="shared" si="0"/>
        <v>210.78000000000003</v>
      </c>
      <c r="K15" s="17"/>
      <c r="L15"/>
      <c r="M15" s="6"/>
      <c r="N15" s="373"/>
      <c r="O15" s="5"/>
      <c r="P15" s="5"/>
      <c r="Q15" s="5"/>
      <c r="R15" s="5"/>
      <c r="S15" s="5"/>
      <c r="T15" s="5"/>
      <c r="U15" s="5"/>
      <c r="V15" s="5"/>
    </row>
    <row r="16" spans="1:22" x14ac:dyDescent="0.2">
      <c r="A16" s="348"/>
      <c r="B16" s="17"/>
      <c r="C16" s="92"/>
      <c r="D16" s="92">
        <v>2</v>
      </c>
      <c r="E16" s="92"/>
      <c r="F16" s="92" t="s">
        <v>106</v>
      </c>
      <c r="G16" s="92">
        <v>5</v>
      </c>
      <c r="H16" s="95">
        <f>G15*G16</f>
        <v>45</v>
      </c>
      <c r="I16" s="92">
        <v>6.37</v>
      </c>
      <c r="J16" s="86">
        <f t="shared" si="0"/>
        <v>286.64999999999998</v>
      </c>
      <c r="K16" s="17"/>
      <c r="L16"/>
      <c r="M16" s="6"/>
      <c r="N16" s="373"/>
      <c r="O16" s="5"/>
      <c r="P16" s="5"/>
      <c r="Q16" s="5"/>
      <c r="R16" s="5"/>
      <c r="S16" s="5"/>
      <c r="T16" s="5"/>
      <c r="U16" s="5"/>
      <c r="V16" s="5"/>
    </row>
    <row r="17" spans="1:22" x14ac:dyDescent="0.2">
      <c r="A17" s="348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6"/>
      <c r="M17" s="6"/>
      <c r="N17" s="5"/>
      <c r="O17" s="5"/>
      <c r="P17" s="5"/>
      <c r="Q17" s="5"/>
      <c r="R17" s="5"/>
      <c r="S17" s="5"/>
      <c r="T17" s="5"/>
      <c r="U17" s="5"/>
      <c r="V17" s="5"/>
    </row>
    <row r="18" spans="1:22" x14ac:dyDescent="0.2">
      <c r="A18" s="348"/>
      <c r="B18" s="1"/>
      <c r="C18" s="3"/>
      <c r="D18" s="3"/>
      <c r="E18" s="3"/>
      <c r="F18" s="3"/>
      <c r="G18" s="59"/>
      <c r="H18" s="439" t="s">
        <v>40</v>
      </c>
      <c r="I18" s="439"/>
      <c r="J18" s="423">
        <f>SUM(J5:J16)</f>
        <v>8232.7900000000009</v>
      </c>
      <c r="K18" s="21"/>
      <c r="L18" s="374"/>
      <c r="M18" s="6"/>
      <c r="N18" s="5"/>
      <c r="O18" s="5"/>
      <c r="P18" s="5"/>
      <c r="Q18" s="5"/>
      <c r="R18" s="5"/>
      <c r="S18" s="5"/>
      <c r="T18" s="5"/>
      <c r="U18" s="5"/>
      <c r="V18" s="5"/>
    </row>
    <row r="19" spans="1:22" x14ac:dyDescent="0.2">
      <c r="A19" s="348"/>
      <c r="B19" s="1"/>
      <c r="C19" s="3"/>
      <c r="D19" s="3"/>
      <c r="E19" s="3"/>
      <c r="F19" s="3"/>
      <c r="G19" s="59"/>
      <c r="H19" s="62"/>
      <c r="I19" s="62"/>
      <c r="J19" s="62"/>
      <c r="K19" s="21"/>
      <c r="L19"/>
      <c r="M19"/>
      <c r="N19" s="5"/>
      <c r="O19" s="5"/>
      <c r="P19" s="5"/>
      <c r="Q19" s="5"/>
      <c r="R19" s="5"/>
      <c r="S19" s="5"/>
      <c r="T19" s="5"/>
      <c r="U19" s="5"/>
      <c r="V19" s="5"/>
    </row>
    <row r="20" spans="1:22" x14ac:dyDescent="0.2">
      <c r="A20" s="348"/>
      <c r="B20" s="5"/>
      <c r="C20" s="6"/>
      <c r="D20" s="6"/>
      <c r="E20" s="6"/>
      <c r="F20" s="6"/>
      <c r="G20" s="376"/>
      <c r="H20" s="373"/>
      <c r="I20" s="373"/>
      <c r="J20" s="373"/>
      <c r="K20" s="10"/>
      <c r="L20" s="375"/>
      <c r="M20" s="47"/>
      <c r="N20" s="5"/>
      <c r="O20" s="5"/>
      <c r="P20" s="5"/>
      <c r="Q20" s="5"/>
      <c r="R20" s="5"/>
      <c r="S20" s="5"/>
      <c r="T20" s="5"/>
      <c r="U20" s="5"/>
      <c r="V20" s="5"/>
    </row>
    <row r="21" spans="1:22" x14ac:dyDescent="0.2">
      <c r="A21" s="348"/>
      <c r="B21" s="5"/>
      <c r="C21" s="6"/>
      <c r="D21" s="6"/>
      <c r="E21" s="6"/>
      <c r="F21" s="6"/>
      <c r="G21" s="376"/>
      <c r="H21" s="373"/>
      <c r="I21" s="373"/>
      <c r="J21" s="373"/>
      <c r="K21" s="10"/>
      <c r="L21" s="54"/>
      <c r="M21"/>
      <c r="N21"/>
      <c r="O21" s="5"/>
      <c r="P21" s="5"/>
      <c r="Q21" s="5"/>
      <c r="R21" s="5"/>
      <c r="S21" s="5"/>
      <c r="T21" s="5"/>
      <c r="U21" s="5"/>
      <c r="V21" s="5"/>
    </row>
    <row r="22" spans="1:22" x14ac:dyDescent="0.2">
      <c r="A22" s="348"/>
      <c r="B22" s="5"/>
      <c r="C22" s="6"/>
      <c r="D22" s="6"/>
      <c r="E22" s="6"/>
      <c r="F22" s="6"/>
      <c r="G22" s="376"/>
      <c r="H22" s="373"/>
      <c r="I22" s="373"/>
      <c r="J22" s="373"/>
      <c r="K22" s="10"/>
      <c r="L22" s="375"/>
      <c r="M22"/>
      <c r="N22" s="5"/>
      <c r="O22" s="5"/>
      <c r="P22" s="5"/>
      <c r="Q22" s="5"/>
      <c r="R22" s="5"/>
      <c r="S22" s="5"/>
      <c r="T22" s="5"/>
      <c r="U22" s="5"/>
      <c r="V22" s="5"/>
    </row>
    <row r="23" spans="1:22" x14ac:dyDescent="0.2">
      <c r="A23" s="348"/>
      <c r="B23" s="5"/>
      <c r="C23" s="6"/>
      <c r="D23" s="6"/>
      <c r="E23" s="6"/>
      <c r="F23" s="6"/>
      <c r="G23" s="376"/>
      <c r="H23" s="373"/>
      <c r="I23" s="373"/>
      <c r="J23" s="373"/>
      <c r="K23" s="10"/>
      <c r="L23"/>
      <c r="M23"/>
      <c r="N23" s="5"/>
      <c r="O23" s="5"/>
      <c r="P23" s="5"/>
      <c r="Q23" s="5"/>
      <c r="R23" s="5"/>
      <c r="S23" s="5"/>
      <c r="T23" s="5"/>
      <c r="U23" s="5"/>
      <c r="V23" s="5"/>
    </row>
    <row r="24" spans="1:22" x14ac:dyDescent="0.2">
      <c r="A24" s="348"/>
      <c r="B24" s="5"/>
      <c r="C24" s="43"/>
      <c r="D24" s="6"/>
      <c r="E24" s="6"/>
      <c r="F24" s="43"/>
      <c r="G24" s="376"/>
      <c r="H24" s="373"/>
      <c r="I24" s="373"/>
      <c r="J24" s="373"/>
      <c r="K24" s="10"/>
      <c r="L24"/>
      <c r="M24"/>
      <c r="N24" s="5"/>
      <c r="O24" s="5"/>
      <c r="P24" s="5"/>
      <c r="Q24" s="5"/>
      <c r="R24" s="5"/>
      <c r="S24" s="5"/>
      <c r="T24" s="5"/>
      <c r="U24" s="5"/>
      <c r="V24" s="5"/>
    </row>
    <row r="25" spans="1:22" x14ac:dyDescent="0.2">
      <c r="A25" s="348"/>
      <c r="B25" s="5"/>
      <c r="C25" s="6"/>
      <c r="D25" s="6"/>
      <c r="E25" s="6"/>
      <c r="F25" s="6"/>
      <c r="G25" s="376"/>
      <c r="H25" s="373"/>
      <c r="I25" s="373"/>
      <c r="J25" s="373"/>
      <c r="K25" s="10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</row>
    <row r="26" spans="1:22" x14ac:dyDescent="0.2">
      <c r="A26" s="348"/>
      <c r="B26" s="5"/>
      <c r="C26" s="6"/>
      <c r="D26" s="6"/>
      <c r="E26" s="6"/>
      <c r="F26" s="6"/>
      <c r="G26" s="376"/>
      <c r="H26" s="373"/>
      <c r="I26" s="373"/>
      <c r="J26" s="373"/>
      <c r="K26" s="10"/>
      <c r="L26" s="6"/>
      <c r="M26" s="43"/>
      <c r="N26" s="5"/>
      <c r="O26" s="5"/>
      <c r="P26" s="5"/>
      <c r="Q26" s="5"/>
      <c r="R26" s="5"/>
      <c r="S26" s="5"/>
      <c r="T26" s="5"/>
      <c r="U26" s="5"/>
      <c r="V26" s="5"/>
    </row>
    <row r="27" spans="1:22" x14ac:dyDescent="0.2">
      <c r="A27" s="348"/>
      <c r="B27" s="5"/>
      <c r="C27" s="6"/>
      <c r="D27" s="6"/>
      <c r="E27" s="6"/>
      <c r="F27" s="6"/>
      <c r="G27" s="376"/>
      <c r="H27" s="373"/>
      <c r="I27" s="373"/>
      <c r="J27" s="373"/>
      <c r="K27" s="10"/>
      <c r="L27" s="6"/>
      <c r="M27" s="43"/>
      <c r="N27" s="5"/>
      <c r="O27" s="5"/>
      <c r="P27" s="5"/>
      <c r="Q27" s="5"/>
      <c r="R27" s="5"/>
      <c r="S27" s="5"/>
      <c r="T27" s="5"/>
      <c r="U27" s="5"/>
      <c r="V27" s="5"/>
    </row>
    <row r="28" spans="1:22" x14ac:dyDescent="0.2">
      <c r="A28" s="348"/>
      <c r="B28" s="5"/>
      <c r="C28" s="6"/>
      <c r="D28" s="6"/>
      <c r="E28" s="6"/>
      <c r="F28" s="6"/>
      <c r="G28" s="376"/>
      <c r="H28" s="373"/>
      <c r="I28" s="373"/>
      <c r="J28" s="373"/>
      <c r="K28" s="10"/>
      <c r="L28" s="6"/>
      <c r="M28" s="43"/>
      <c r="N28" s="5"/>
      <c r="O28" s="5"/>
      <c r="P28" s="5"/>
      <c r="Q28" s="5"/>
      <c r="R28" s="5"/>
      <c r="S28" s="5"/>
      <c r="T28" s="5"/>
      <c r="U28" s="5"/>
      <c r="V28" s="5"/>
    </row>
    <row r="29" spans="1:22" x14ac:dyDescent="0.2">
      <c r="A29" s="348"/>
      <c r="B29" s="5"/>
      <c r="C29" s="6"/>
      <c r="D29" s="6"/>
      <c r="E29" s="6"/>
      <c r="F29" s="6"/>
      <c r="G29" s="376"/>
      <c r="H29" s="373"/>
      <c r="I29" s="373"/>
      <c r="J29" s="373"/>
      <c r="K29" s="10"/>
      <c r="L29" s="6"/>
      <c r="M29" s="43"/>
      <c r="N29" s="5"/>
      <c r="O29" s="5"/>
      <c r="P29" s="5"/>
      <c r="Q29" s="5"/>
      <c r="R29" s="5"/>
      <c r="S29" s="5"/>
      <c r="T29" s="5"/>
      <c r="U29" s="5"/>
      <c r="V29" s="5"/>
    </row>
    <row r="30" spans="1:22" x14ac:dyDescent="0.2">
      <c r="A30" s="348"/>
      <c r="B30" s="5"/>
      <c r="C30" s="6"/>
      <c r="D30" s="6"/>
      <c r="E30" s="6"/>
      <c r="F30" s="6"/>
      <c r="G30" s="376"/>
      <c r="H30" s="373"/>
      <c r="I30" s="373"/>
      <c r="J30" s="373"/>
      <c r="K30" s="10"/>
      <c r="L30" s="6"/>
      <c r="M30" s="43"/>
      <c r="N30" s="5"/>
      <c r="O30" s="5"/>
      <c r="P30" s="5"/>
      <c r="Q30" s="5"/>
      <c r="R30" s="5"/>
      <c r="S30" s="5"/>
      <c r="T30" s="5"/>
      <c r="U30" s="5"/>
      <c r="V30" s="5"/>
    </row>
    <row r="31" spans="1:22" x14ac:dyDescent="0.2">
      <c r="A31" s="348"/>
      <c r="B31" s="5"/>
      <c r="C31" s="6"/>
      <c r="D31" s="6"/>
      <c r="E31" s="6"/>
      <c r="F31" s="6"/>
      <c r="G31" s="376"/>
      <c r="H31" s="373"/>
      <c r="I31" s="373"/>
      <c r="J31" s="373"/>
      <c r="K31" s="10"/>
      <c r="L31" s="6"/>
      <c r="M31" s="43"/>
      <c r="N31" s="5"/>
      <c r="O31" s="5"/>
      <c r="P31" s="5"/>
      <c r="Q31" s="5"/>
      <c r="R31" s="5"/>
      <c r="S31" s="5"/>
      <c r="T31" s="5"/>
      <c r="U31" s="5"/>
      <c r="V31" s="5"/>
    </row>
    <row r="32" spans="1:22" x14ac:dyDescent="0.2">
      <c r="A32" s="348"/>
      <c r="B32" s="5"/>
      <c r="C32" s="6"/>
      <c r="D32" s="6"/>
      <c r="E32" s="6"/>
      <c r="F32" s="6"/>
      <c r="G32" s="376"/>
      <c r="H32" s="373"/>
      <c r="I32" s="373"/>
      <c r="J32" s="373"/>
      <c r="K32" s="10"/>
      <c r="L32" s="6"/>
      <c r="M32" s="43"/>
      <c r="N32" s="5"/>
      <c r="O32" s="5"/>
      <c r="P32" s="5"/>
      <c r="Q32" s="5"/>
      <c r="R32" s="5"/>
      <c r="S32" s="5"/>
      <c r="T32" s="5"/>
      <c r="U32" s="5"/>
      <c r="V32" s="5"/>
    </row>
    <row r="33" spans="1:22" x14ac:dyDescent="0.2">
      <c r="A33" s="348"/>
      <c r="B33" s="5"/>
      <c r="C33" s="6"/>
      <c r="D33" s="6"/>
      <c r="E33" s="6"/>
      <c r="F33" s="6"/>
      <c r="G33" s="376"/>
      <c r="H33" s="373"/>
      <c r="I33" s="373"/>
      <c r="J33" s="373"/>
      <c r="K33" s="10"/>
      <c r="L33" s="6"/>
      <c r="M33" s="43"/>
      <c r="N33" s="5"/>
      <c r="O33" s="5"/>
      <c r="P33" s="5"/>
      <c r="Q33" s="5"/>
      <c r="R33" s="5"/>
      <c r="S33" s="5"/>
      <c r="T33" s="5"/>
      <c r="U33" s="5"/>
      <c r="V33" s="5"/>
    </row>
    <row r="34" spans="1:22" x14ac:dyDescent="0.2">
      <c r="A34" s="348"/>
      <c r="B34" s="5"/>
      <c r="C34" s="6"/>
      <c r="D34" s="6"/>
      <c r="E34" s="6"/>
      <c r="F34" s="6"/>
      <c r="G34" s="376"/>
      <c r="H34" s="373"/>
      <c r="I34" s="373"/>
      <c r="J34" s="373"/>
      <c r="K34" s="10"/>
      <c r="L34" s="6"/>
      <c r="M34" s="43"/>
      <c r="N34" s="5"/>
      <c r="O34" s="5"/>
      <c r="P34" s="5"/>
      <c r="Q34" s="5"/>
      <c r="R34" s="5"/>
      <c r="S34" s="5"/>
      <c r="T34" s="5"/>
      <c r="U34" s="5"/>
      <c r="V34" s="5"/>
    </row>
    <row r="35" spans="1:22" x14ac:dyDescent="0.2">
      <c r="A35" s="348"/>
      <c r="B35" s="5"/>
      <c r="C35" s="6"/>
      <c r="D35" s="6"/>
      <c r="E35" s="6"/>
      <c r="F35" s="6"/>
      <c r="G35" s="376"/>
      <c r="H35" s="373"/>
      <c r="I35" s="373"/>
      <c r="J35" s="373"/>
      <c r="K35" s="10"/>
      <c r="L35" s="6"/>
      <c r="M35" s="43"/>
      <c r="N35" s="5"/>
      <c r="O35" s="5"/>
      <c r="P35" s="5"/>
      <c r="Q35" s="5"/>
      <c r="R35" s="5"/>
      <c r="S35" s="5"/>
      <c r="T35" s="5"/>
      <c r="U35" s="5"/>
      <c r="V35" s="5"/>
    </row>
    <row r="36" spans="1:22" x14ac:dyDescent="0.2">
      <c r="A36" s="348"/>
      <c r="B36" s="5"/>
      <c r="C36" s="43"/>
      <c r="D36" s="6"/>
      <c r="E36" s="6"/>
      <c r="F36" s="6"/>
      <c r="G36" s="376"/>
      <c r="H36" s="373"/>
      <c r="I36" s="373"/>
      <c r="J36" s="373"/>
      <c r="K36" s="10"/>
      <c r="L36" s="6"/>
      <c r="M36" s="43"/>
      <c r="N36" s="5"/>
      <c r="O36" s="5"/>
      <c r="P36" s="5"/>
      <c r="Q36" s="5"/>
      <c r="R36" s="5"/>
      <c r="S36" s="5"/>
      <c r="T36" s="5"/>
      <c r="U36" s="5"/>
      <c r="V36" s="5"/>
    </row>
    <row r="37" spans="1:22" x14ac:dyDescent="0.2">
      <c r="A37" s="348"/>
      <c r="B37" s="5"/>
      <c r="C37" s="6"/>
      <c r="D37" s="6"/>
      <c r="E37" s="6"/>
      <c r="F37" s="6"/>
      <c r="G37" s="376"/>
      <c r="H37" s="373"/>
      <c r="I37" s="373"/>
      <c r="J37" s="373"/>
      <c r="K37" s="10"/>
      <c r="L37" s="6"/>
      <c r="M37" s="43"/>
      <c r="N37" s="5"/>
      <c r="O37" s="5"/>
      <c r="P37" s="5"/>
      <c r="Q37" s="5"/>
      <c r="R37" s="5"/>
      <c r="S37" s="5"/>
      <c r="T37" s="5"/>
      <c r="U37" s="5"/>
      <c r="V37" s="5"/>
    </row>
    <row r="38" spans="1:22" x14ac:dyDescent="0.2">
      <c r="A38" s="348"/>
      <c r="B38" s="5"/>
      <c r="C38" s="6"/>
      <c r="D38" s="6"/>
      <c r="E38" s="6"/>
      <c r="F38" s="6"/>
      <c r="G38" s="376"/>
      <c r="H38" s="373"/>
      <c r="I38" s="373"/>
      <c r="J38" s="373"/>
      <c r="K38" s="10"/>
      <c r="L38" s="6"/>
      <c r="M38" s="43"/>
      <c r="N38" s="5"/>
      <c r="O38" s="5"/>
      <c r="P38" s="5"/>
      <c r="Q38" s="5"/>
      <c r="R38" s="5"/>
      <c r="S38" s="5"/>
      <c r="T38" s="5"/>
      <c r="U38" s="5"/>
      <c r="V38" s="5"/>
    </row>
    <row r="39" spans="1:22" x14ac:dyDescent="0.2">
      <c r="A39" s="348"/>
      <c r="B39" s="5"/>
      <c r="C39" s="6"/>
      <c r="D39" s="6"/>
      <c r="E39" s="6"/>
      <c r="F39" s="6"/>
      <c r="G39" s="376"/>
      <c r="H39" s="373"/>
      <c r="I39" s="373"/>
      <c r="J39" s="373"/>
      <c r="K39" s="10"/>
      <c r="L39" s="6"/>
      <c r="M39" s="43"/>
      <c r="N39" s="5"/>
      <c r="O39" s="5"/>
      <c r="P39" s="5"/>
      <c r="Q39" s="5"/>
      <c r="R39" s="5"/>
      <c r="S39" s="5"/>
      <c r="T39" s="5"/>
      <c r="U39" s="5"/>
      <c r="V39" s="5"/>
    </row>
    <row r="40" spans="1:22" x14ac:dyDescent="0.2">
      <c r="A40" s="348"/>
      <c r="B40" s="5"/>
      <c r="C40" s="6"/>
      <c r="D40" s="6"/>
      <c r="E40" s="6"/>
      <c r="F40" s="6"/>
      <c r="G40" s="377"/>
      <c r="H40" s="373"/>
      <c r="I40" s="373"/>
      <c r="J40" s="373"/>
      <c r="K40" s="10"/>
      <c r="L40" s="6"/>
      <c r="M40" s="43"/>
      <c r="N40" s="5"/>
      <c r="O40" s="5"/>
      <c r="P40" s="5"/>
      <c r="Q40" s="5"/>
      <c r="R40" s="5"/>
      <c r="S40" s="5"/>
      <c r="T40" s="5"/>
      <c r="U40" s="5"/>
      <c r="V40" s="5"/>
    </row>
    <row r="41" spans="1:22" x14ac:dyDescent="0.2">
      <c r="A41" s="348"/>
      <c r="B41" s="5"/>
      <c r="C41" s="6"/>
      <c r="D41" s="6"/>
      <c r="E41" s="6"/>
      <c r="F41" s="6"/>
      <c r="G41" s="6"/>
      <c r="H41" s="40"/>
      <c r="I41" s="41"/>
      <c r="J41" s="42"/>
      <c r="K41" s="5"/>
      <c r="L41" s="6"/>
      <c r="M41" s="43"/>
      <c r="N41" s="5"/>
      <c r="O41" s="5"/>
      <c r="P41" s="5"/>
      <c r="Q41" s="5"/>
      <c r="R41" s="5"/>
      <c r="S41" s="5"/>
      <c r="T41" s="5"/>
      <c r="U41" s="5"/>
      <c r="V41" s="5"/>
    </row>
    <row r="42" spans="1:22" x14ac:dyDescent="0.2">
      <c r="A42" s="348"/>
      <c r="B42" s="5"/>
      <c r="C42" s="6"/>
      <c r="D42" s="6"/>
      <c r="E42" s="6"/>
      <c r="F42" s="6"/>
      <c r="G42" s="377"/>
      <c r="H42" s="373"/>
      <c r="I42" s="373"/>
      <c r="J42" s="373"/>
      <c r="K42" s="10"/>
      <c r="L42" s="6"/>
      <c r="M42" s="43"/>
      <c r="N42" s="5"/>
      <c r="O42" s="5"/>
      <c r="P42" s="5"/>
      <c r="Q42" s="5"/>
      <c r="R42" s="5"/>
      <c r="S42" s="5"/>
      <c r="T42" s="5"/>
      <c r="U42" s="5"/>
      <c r="V42" s="5"/>
    </row>
  </sheetData>
  <mergeCells count="2">
    <mergeCell ref="H18:I18"/>
    <mergeCell ref="C4:E4"/>
  </mergeCells>
  <pageMargins left="0.7" right="0.7" top="0.78740157499999996" bottom="0.78740157499999996" header="0.3" footer="0.3"/>
  <pageSetup paperSize="9" orientation="portrait" r:id="rId1"/>
  <picture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2AFB9-A812-458A-92A2-E03E06530719}">
  <sheetPr codeName="Sheet11"/>
  <dimension ref="A1:X45"/>
  <sheetViews>
    <sheetView zoomScale="75" zoomScaleNormal="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W18" sqref="W18"/>
    </sheetView>
  </sheetViews>
  <sheetFormatPr baseColWidth="10" defaultColWidth="16" defaultRowHeight="15" x14ac:dyDescent="0.2"/>
  <cols>
    <col min="1" max="1" width="3" style="355" customWidth="1"/>
    <col min="2" max="2" width="5.33203125" style="97" customWidth="1"/>
    <col min="3" max="3" width="14.33203125" style="65" customWidth="1"/>
    <col min="4" max="4" width="17.6640625" style="64" customWidth="1"/>
    <col min="5" max="5" width="14.33203125" style="64" customWidth="1"/>
    <col min="6" max="7" width="16" style="64"/>
    <col min="8" max="16384" width="16" style="65"/>
  </cols>
  <sheetData>
    <row r="1" spans="1:24" s="355" customFormat="1" x14ac:dyDescent="0.2">
      <c r="A1" s="348"/>
      <c r="B1" s="348"/>
      <c r="D1" s="356"/>
      <c r="E1" s="356"/>
      <c r="F1" s="356"/>
      <c r="G1" s="356"/>
    </row>
    <row r="2" spans="1:24" s="64" customFormat="1" ht="16" thickBot="1" x14ac:dyDescent="0.25">
      <c r="A2" s="348"/>
      <c r="B2" s="17"/>
      <c r="C2" s="98"/>
      <c r="D2" s="77"/>
      <c r="E2" s="77"/>
      <c r="F2" s="77"/>
      <c r="G2" s="7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77"/>
    </row>
    <row r="3" spans="1:24" s="64" customFormat="1" ht="16" thickBot="1" x14ac:dyDescent="0.25">
      <c r="A3" s="348"/>
      <c r="B3" s="17"/>
      <c r="C3" s="441" t="s">
        <v>107</v>
      </c>
      <c r="D3" s="442"/>
      <c r="E3" s="443"/>
      <c r="F3" s="77"/>
      <c r="G3" s="441" t="s">
        <v>108</v>
      </c>
      <c r="H3" s="442"/>
      <c r="I3" s="442"/>
      <c r="J3" s="442"/>
      <c r="K3" s="443"/>
      <c r="L3" s="97"/>
      <c r="M3" s="441" t="s">
        <v>109</v>
      </c>
      <c r="N3" s="442"/>
      <c r="O3" s="442"/>
      <c r="P3" s="442"/>
      <c r="Q3" s="443"/>
      <c r="R3" s="97"/>
      <c r="S3" s="444" t="s">
        <v>110</v>
      </c>
      <c r="T3" s="445"/>
      <c r="U3" s="445"/>
      <c r="V3" s="445"/>
      <c r="W3" s="446"/>
      <c r="X3" s="77"/>
    </row>
    <row r="4" spans="1:24" s="64" customFormat="1" ht="16" thickBot="1" x14ac:dyDescent="0.25">
      <c r="A4" s="348"/>
      <c r="B4" s="17"/>
      <c r="C4" s="66" t="s">
        <v>111</v>
      </c>
      <c r="D4" s="67" t="s">
        <v>112</v>
      </c>
      <c r="E4" s="68" t="s">
        <v>113</v>
      </c>
      <c r="F4" s="77"/>
      <c r="G4" s="406" t="s">
        <v>111</v>
      </c>
      <c r="H4" s="407" t="s">
        <v>112</v>
      </c>
      <c r="I4" s="407" t="s">
        <v>113</v>
      </c>
      <c r="J4" s="407" t="s">
        <v>114</v>
      </c>
      <c r="K4" s="408" t="s">
        <v>115</v>
      </c>
      <c r="L4" s="97"/>
      <c r="M4" s="406" t="s">
        <v>111</v>
      </c>
      <c r="N4" s="407" t="s">
        <v>112</v>
      </c>
      <c r="O4" s="407" t="s">
        <v>113</v>
      </c>
      <c r="P4" s="407" t="s">
        <v>114</v>
      </c>
      <c r="Q4" s="408" t="s">
        <v>115</v>
      </c>
      <c r="R4" s="97"/>
      <c r="S4" s="406" t="s">
        <v>111</v>
      </c>
      <c r="T4" s="407" t="s">
        <v>112</v>
      </c>
      <c r="U4" s="407" t="s">
        <v>113</v>
      </c>
      <c r="V4" s="407" t="s">
        <v>114</v>
      </c>
      <c r="W4" s="408" t="s">
        <v>115</v>
      </c>
      <c r="X4" s="77"/>
    </row>
    <row r="5" spans="1:24" s="64" customFormat="1" x14ac:dyDescent="0.2">
      <c r="A5" s="348"/>
      <c r="B5" s="17"/>
      <c r="C5" s="69">
        <v>2314</v>
      </c>
      <c r="D5" s="70">
        <v>4</v>
      </c>
      <c r="E5" s="71">
        <v>32</v>
      </c>
      <c r="F5" s="77"/>
      <c r="G5" s="69">
        <v>275</v>
      </c>
      <c r="H5" s="70">
        <v>8</v>
      </c>
      <c r="I5" s="71">
        <v>12</v>
      </c>
      <c r="J5" s="409">
        <f>H5</f>
        <v>8</v>
      </c>
      <c r="K5" s="410">
        <f>IF(J5&gt;I5,J5-I5,0)</f>
        <v>0</v>
      </c>
      <c r="L5" s="97"/>
      <c r="M5" s="69">
        <v>3685</v>
      </c>
      <c r="N5" s="70">
        <v>1</v>
      </c>
      <c r="O5" s="71">
        <v>14</v>
      </c>
      <c r="P5" s="409">
        <f>N5</f>
        <v>1</v>
      </c>
      <c r="Q5" s="410">
        <f>IF(P5&gt;O5,P5-O5,0)</f>
        <v>0</v>
      </c>
      <c r="R5" s="97"/>
      <c r="S5" s="69">
        <v>1234</v>
      </c>
      <c r="T5" s="70">
        <v>3</v>
      </c>
      <c r="U5" s="71">
        <v>8</v>
      </c>
      <c r="V5" s="409">
        <f>T5</f>
        <v>3</v>
      </c>
      <c r="W5" s="410">
        <f>IF(V5&gt;U5,V5-U5,0)</f>
        <v>0</v>
      </c>
      <c r="X5" s="77"/>
    </row>
    <row r="6" spans="1:24" s="64" customFormat="1" x14ac:dyDescent="0.2">
      <c r="A6" s="348"/>
      <c r="B6" s="17"/>
      <c r="C6" s="69">
        <v>6341</v>
      </c>
      <c r="D6" s="70">
        <v>12</v>
      </c>
      <c r="E6" s="71">
        <v>43</v>
      </c>
      <c r="F6" s="77"/>
      <c r="G6" s="69">
        <v>1234</v>
      </c>
      <c r="H6" s="70">
        <v>3</v>
      </c>
      <c r="I6" s="71">
        <v>8</v>
      </c>
      <c r="J6" s="72">
        <f>J5+H6</f>
        <v>11</v>
      </c>
      <c r="K6" s="73">
        <f t="shared" ref="K6:K14" si="0">IF(J6&gt;I6,J6-I6,0)</f>
        <v>3</v>
      </c>
      <c r="L6" s="97"/>
      <c r="M6" s="69">
        <v>3462</v>
      </c>
      <c r="N6" s="70">
        <v>2</v>
      </c>
      <c r="O6" s="71">
        <v>23</v>
      </c>
      <c r="P6" s="72">
        <f>P5+N6</f>
        <v>3</v>
      </c>
      <c r="Q6" s="73">
        <f t="shared" ref="Q6:Q14" si="1">IF(P6&gt;O6,P6-O6,0)</f>
        <v>0</v>
      </c>
      <c r="R6" s="97"/>
      <c r="S6" s="69">
        <v>275</v>
      </c>
      <c r="T6" s="70">
        <v>8</v>
      </c>
      <c r="U6" s="71">
        <v>12</v>
      </c>
      <c r="V6" s="72">
        <f>V5+T6</f>
        <v>11</v>
      </c>
      <c r="W6" s="73">
        <f t="shared" ref="W6:W14" si="2">IF(V6&gt;U6,V6-U6,0)</f>
        <v>0</v>
      </c>
      <c r="X6" s="77"/>
    </row>
    <row r="7" spans="1:24" s="64" customFormat="1" x14ac:dyDescent="0.2">
      <c r="A7" s="348"/>
      <c r="B7" s="17"/>
      <c r="C7" s="69">
        <v>1342</v>
      </c>
      <c r="D7" s="70">
        <v>5</v>
      </c>
      <c r="E7" s="71">
        <v>24</v>
      </c>
      <c r="F7" s="77"/>
      <c r="G7" s="69">
        <v>1235</v>
      </c>
      <c r="H7" s="70">
        <v>6</v>
      </c>
      <c r="I7" s="71">
        <v>15</v>
      </c>
      <c r="J7" s="72">
        <f t="shared" ref="J7:J14" si="3">J6+H7</f>
        <v>17</v>
      </c>
      <c r="K7" s="73">
        <f t="shared" si="0"/>
        <v>2</v>
      </c>
      <c r="L7" s="97"/>
      <c r="M7" s="69">
        <v>1234</v>
      </c>
      <c r="N7" s="70">
        <v>3</v>
      </c>
      <c r="O7" s="71">
        <v>8</v>
      </c>
      <c r="P7" s="72">
        <f t="shared" ref="P7:P14" si="4">P6+N7</f>
        <v>6</v>
      </c>
      <c r="Q7" s="73">
        <f t="shared" si="1"/>
        <v>0</v>
      </c>
      <c r="R7" s="97"/>
      <c r="S7" s="69">
        <v>3685</v>
      </c>
      <c r="T7" s="70">
        <v>1</v>
      </c>
      <c r="U7" s="71">
        <v>14</v>
      </c>
      <c r="V7" s="72">
        <f t="shared" ref="V7:V14" si="5">V6+T7</f>
        <v>12</v>
      </c>
      <c r="W7" s="73">
        <f t="shared" si="2"/>
        <v>0</v>
      </c>
      <c r="X7" s="77"/>
    </row>
    <row r="8" spans="1:24" s="64" customFormat="1" x14ac:dyDescent="0.2">
      <c r="A8" s="348"/>
      <c r="B8" s="17"/>
      <c r="C8" s="69">
        <v>1234</v>
      </c>
      <c r="D8" s="70">
        <v>3</v>
      </c>
      <c r="E8" s="71">
        <v>8</v>
      </c>
      <c r="F8" s="77"/>
      <c r="G8" s="69">
        <v>1342</v>
      </c>
      <c r="H8" s="70">
        <v>5</v>
      </c>
      <c r="I8" s="71">
        <v>24</v>
      </c>
      <c r="J8" s="72">
        <f t="shared" si="3"/>
        <v>22</v>
      </c>
      <c r="K8" s="73">
        <f t="shared" si="0"/>
        <v>0</v>
      </c>
      <c r="L8" s="97"/>
      <c r="M8" s="69">
        <v>2314</v>
      </c>
      <c r="N8" s="70">
        <v>4</v>
      </c>
      <c r="O8" s="71">
        <v>32</v>
      </c>
      <c r="P8" s="72">
        <f t="shared" si="4"/>
        <v>10</v>
      </c>
      <c r="Q8" s="73">
        <f t="shared" si="1"/>
        <v>0</v>
      </c>
      <c r="R8" s="97"/>
      <c r="S8" s="69">
        <v>1235</v>
      </c>
      <c r="T8" s="70">
        <v>6</v>
      </c>
      <c r="U8" s="71">
        <v>15</v>
      </c>
      <c r="V8" s="72">
        <f t="shared" si="5"/>
        <v>18</v>
      </c>
      <c r="W8" s="73">
        <f t="shared" si="2"/>
        <v>3</v>
      </c>
      <c r="X8" s="77"/>
    </row>
    <row r="9" spans="1:24" s="64" customFormat="1" x14ac:dyDescent="0.2">
      <c r="A9" s="348"/>
      <c r="B9" s="17"/>
      <c r="C9" s="69">
        <v>275</v>
      </c>
      <c r="D9" s="70">
        <v>8</v>
      </c>
      <c r="E9" s="71">
        <v>12</v>
      </c>
      <c r="F9" s="77"/>
      <c r="G9" s="69">
        <v>2314</v>
      </c>
      <c r="H9" s="70">
        <v>4</v>
      </c>
      <c r="I9" s="71">
        <v>32</v>
      </c>
      <c r="J9" s="72">
        <f t="shared" si="3"/>
        <v>26</v>
      </c>
      <c r="K9" s="73">
        <f t="shared" si="0"/>
        <v>0</v>
      </c>
      <c r="L9" s="97"/>
      <c r="M9" s="69">
        <v>1342</v>
      </c>
      <c r="N9" s="70">
        <v>5</v>
      </c>
      <c r="O9" s="71">
        <v>24</v>
      </c>
      <c r="P9" s="72">
        <f t="shared" si="4"/>
        <v>15</v>
      </c>
      <c r="Q9" s="73">
        <f t="shared" si="1"/>
        <v>0</v>
      </c>
      <c r="R9" s="97"/>
      <c r="S9" s="69">
        <v>3462</v>
      </c>
      <c r="T9" s="70">
        <v>2</v>
      </c>
      <c r="U9" s="71">
        <v>23</v>
      </c>
      <c r="V9" s="72">
        <f t="shared" si="5"/>
        <v>20</v>
      </c>
      <c r="W9" s="73">
        <f t="shared" si="2"/>
        <v>0</v>
      </c>
      <c r="X9" s="77"/>
    </row>
    <row r="10" spans="1:24" s="64" customFormat="1" x14ac:dyDescent="0.2">
      <c r="A10" s="348"/>
      <c r="B10" s="17"/>
      <c r="C10" s="69">
        <v>3685</v>
      </c>
      <c r="D10" s="70">
        <v>1</v>
      </c>
      <c r="E10" s="71">
        <v>14</v>
      </c>
      <c r="F10" s="77"/>
      <c r="G10" s="69">
        <v>3426</v>
      </c>
      <c r="H10" s="70">
        <v>9</v>
      </c>
      <c r="I10" s="71">
        <v>42</v>
      </c>
      <c r="J10" s="72">
        <f t="shared" si="3"/>
        <v>35</v>
      </c>
      <c r="K10" s="73">
        <f t="shared" si="0"/>
        <v>0</v>
      </c>
      <c r="L10" s="97"/>
      <c r="M10" s="69">
        <v>1235</v>
      </c>
      <c r="N10" s="70">
        <v>6</v>
      </c>
      <c r="O10" s="71">
        <v>15</v>
      </c>
      <c r="P10" s="72">
        <f t="shared" si="4"/>
        <v>21</v>
      </c>
      <c r="Q10" s="73">
        <f t="shared" si="1"/>
        <v>6</v>
      </c>
      <c r="R10" s="97"/>
      <c r="S10" s="69">
        <v>1342</v>
      </c>
      <c r="T10" s="70">
        <v>5</v>
      </c>
      <c r="U10" s="71">
        <v>24</v>
      </c>
      <c r="V10" s="72">
        <f t="shared" si="5"/>
        <v>25</v>
      </c>
      <c r="W10" s="73">
        <f t="shared" si="2"/>
        <v>1</v>
      </c>
      <c r="X10" s="77"/>
    </row>
    <row r="11" spans="1:24" s="64" customFormat="1" x14ac:dyDescent="0.2">
      <c r="A11" s="348"/>
      <c r="B11" s="17"/>
      <c r="C11" s="69">
        <v>1235</v>
      </c>
      <c r="D11" s="70">
        <v>6</v>
      </c>
      <c r="E11" s="71">
        <v>15</v>
      </c>
      <c r="F11" s="77"/>
      <c r="G11" s="69">
        <v>3462</v>
      </c>
      <c r="H11" s="70">
        <v>2</v>
      </c>
      <c r="I11" s="71">
        <v>23</v>
      </c>
      <c r="J11" s="72">
        <f t="shared" si="3"/>
        <v>37</v>
      </c>
      <c r="K11" s="73">
        <f t="shared" si="0"/>
        <v>14</v>
      </c>
      <c r="L11" s="97"/>
      <c r="M11" s="69">
        <v>7224</v>
      </c>
      <c r="N11" s="70">
        <v>7</v>
      </c>
      <c r="O11" s="71">
        <v>50</v>
      </c>
      <c r="P11" s="72">
        <f t="shared" si="4"/>
        <v>28</v>
      </c>
      <c r="Q11" s="73">
        <f t="shared" si="1"/>
        <v>0</v>
      </c>
      <c r="R11" s="97"/>
      <c r="S11" s="69">
        <v>2314</v>
      </c>
      <c r="T11" s="70">
        <v>4</v>
      </c>
      <c r="U11" s="71">
        <v>32</v>
      </c>
      <c r="V11" s="72">
        <f t="shared" si="5"/>
        <v>29</v>
      </c>
      <c r="W11" s="73">
        <f t="shared" si="2"/>
        <v>0</v>
      </c>
      <c r="X11" s="77"/>
    </row>
    <row r="12" spans="1:24" s="64" customFormat="1" x14ac:dyDescent="0.2">
      <c r="A12" s="348"/>
      <c r="B12" s="17"/>
      <c r="C12" s="69">
        <v>7224</v>
      </c>
      <c r="D12" s="70">
        <v>7</v>
      </c>
      <c r="E12" s="71">
        <v>50</v>
      </c>
      <c r="F12" s="77"/>
      <c r="G12" s="69">
        <v>3685</v>
      </c>
      <c r="H12" s="70">
        <v>1</v>
      </c>
      <c r="I12" s="71">
        <v>14</v>
      </c>
      <c r="J12" s="72">
        <f t="shared" si="3"/>
        <v>38</v>
      </c>
      <c r="K12" s="73">
        <f t="shared" si="0"/>
        <v>24</v>
      </c>
      <c r="L12" s="97"/>
      <c r="M12" s="69">
        <v>275</v>
      </c>
      <c r="N12" s="70">
        <v>8</v>
      </c>
      <c r="O12" s="71">
        <v>12</v>
      </c>
      <c r="P12" s="72">
        <f t="shared" si="4"/>
        <v>36</v>
      </c>
      <c r="Q12" s="73">
        <f t="shared" si="1"/>
        <v>24</v>
      </c>
      <c r="R12" s="97"/>
      <c r="S12" s="69">
        <v>3426</v>
      </c>
      <c r="T12" s="70">
        <v>9</v>
      </c>
      <c r="U12" s="71">
        <v>42</v>
      </c>
      <c r="V12" s="72">
        <f t="shared" si="5"/>
        <v>38</v>
      </c>
      <c r="W12" s="73">
        <f t="shared" si="2"/>
        <v>0</v>
      </c>
      <c r="X12" s="77"/>
    </row>
    <row r="13" spans="1:24" s="64" customFormat="1" x14ac:dyDescent="0.2">
      <c r="A13" s="348"/>
      <c r="B13" s="17"/>
      <c r="C13" s="69">
        <v>3426</v>
      </c>
      <c r="D13" s="70">
        <v>9</v>
      </c>
      <c r="E13" s="71">
        <v>42</v>
      </c>
      <c r="F13" s="77"/>
      <c r="G13" s="69">
        <v>6341</v>
      </c>
      <c r="H13" s="70">
        <v>12</v>
      </c>
      <c r="I13" s="71">
        <v>43</v>
      </c>
      <c r="J13" s="72">
        <f t="shared" si="3"/>
        <v>50</v>
      </c>
      <c r="K13" s="73">
        <f t="shared" si="0"/>
        <v>7</v>
      </c>
      <c r="L13" s="97"/>
      <c r="M13" s="69">
        <v>3426</v>
      </c>
      <c r="N13" s="70">
        <v>9</v>
      </c>
      <c r="O13" s="71">
        <v>42</v>
      </c>
      <c r="P13" s="72">
        <f t="shared" si="4"/>
        <v>45</v>
      </c>
      <c r="Q13" s="73">
        <f t="shared" si="1"/>
        <v>3</v>
      </c>
      <c r="R13" s="97"/>
      <c r="S13" s="69">
        <v>6341</v>
      </c>
      <c r="T13" s="70">
        <v>12</v>
      </c>
      <c r="U13" s="71">
        <v>43</v>
      </c>
      <c r="V13" s="72">
        <f t="shared" si="5"/>
        <v>50</v>
      </c>
      <c r="W13" s="73">
        <f t="shared" si="2"/>
        <v>7</v>
      </c>
      <c r="X13" s="77"/>
    </row>
    <row r="14" spans="1:24" s="64" customFormat="1" ht="16" thickBot="1" x14ac:dyDescent="0.25">
      <c r="A14" s="348"/>
      <c r="B14" s="17"/>
      <c r="C14" s="74">
        <v>3462</v>
      </c>
      <c r="D14" s="75">
        <v>2</v>
      </c>
      <c r="E14" s="405">
        <v>23</v>
      </c>
      <c r="F14" s="77"/>
      <c r="G14" s="74">
        <v>7224</v>
      </c>
      <c r="H14" s="75">
        <v>7</v>
      </c>
      <c r="I14" s="405">
        <v>50</v>
      </c>
      <c r="J14" s="72">
        <f t="shared" si="3"/>
        <v>57</v>
      </c>
      <c r="K14" s="411">
        <f t="shared" si="0"/>
        <v>7</v>
      </c>
      <c r="L14" s="97"/>
      <c r="M14" s="74">
        <v>6341</v>
      </c>
      <c r="N14" s="75">
        <v>12</v>
      </c>
      <c r="O14" s="405">
        <v>43</v>
      </c>
      <c r="P14" s="72">
        <f t="shared" si="4"/>
        <v>57</v>
      </c>
      <c r="Q14" s="411">
        <f t="shared" si="1"/>
        <v>14</v>
      </c>
      <c r="R14" s="97"/>
      <c r="S14" s="74">
        <v>7224</v>
      </c>
      <c r="T14" s="75">
        <v>7</v>
      </c>
      <c r="U14" s="405">
        <v>50</v>
      </c>
      <c r="V14" s="72">
        <f t="shared" si="5"/>
        <v>57</v>
      </c>
      <c r="W14" s="411">
        <f t="shared" si="2"/>
        <v>7</v>
      </c>
      <c r="X14" s="77"/>
    </row>
    <row r="15" spans="1:24" x14ac:dyDescent="0.2">
      <c r="A15" s="348"/>
      <c r="B15" s="17"/>
      <c r="C15" s="97"/>
      <c r="D15" s="77"/>
      <c r="E15" s="77"/>
      <c r="F15" s="77"/>
      <c r="G15" s="76" t="s">
        <v>15</v>
      </c>
      <c r="H15" s="77"/>
      <c r="I15" s="77"/>
      <c r="J15" s="78">
        <f>SUM(J5:J14)</f>
        <v>301</v>
      </c>
      <c r="K15" s="71"/>
      <c r="L15" s="97"/>
      <c r="M15" s="76" t="s">
        <v>15</v>
      </c>
      <c r="N15" s="77"/>
      <c r="O15" s="77"/>
      <c r="P15" s="78">
        <f>SUM(P5:P14)</f>
        <v>222</v>
      </c>
      <c r="Q15" s="71"/>
      <c r="R15" s="97"/>
      <c r="S15" s="76" t="s">
        <v>15</v>
      </c>
      <c r="T15" s="77"/>
      <c r="U15" s="77"/>
      <c r="V15" s="78">
        <f>SUM(V5:V14)</f>
        <v>263</v>
      </c>
      <c r="W15" s="71"/>
      <c r="X15" s="97"/>
    </row>
    <row r="16" spans="1:24" x14ac:dyDescent="0.2">
      <c r="A16" s="348"/>
      <c r="B16" s="17"/>
      <c r="C16" s="97"/>
      <c r="D16" s="77"/>
      <c r="E16" s="77"/>
      <c r="F16" s="77"/>
      <c r="G16" s="76" t="s">
        <v>116</v>
      </c>
      <c r="H16" s="77"/>
      <c r="I16" s="77"/>
      <c r="J16" s="78">
        <f>AVERAGE(J5:J14)</f>
        <v>30.1</v>
      </c>
      <c r="K16" s="71"/>
      <c r="L16" s="97"/>
      <c r="M16" s="76" t="s">
        <v>116</v>
      </c>
      <c r="N16" s="77"/>
      <c r="O16" s="77"/>
      <c r="P16" s="78">
        <f>AVERAGE(P5:P14)</f>
        <v>22.2</v>
      </c>
      <c r="Q16" s="71"/>
      <c r="R16" s="97"/>
      <c r="S16" s="76" t="s">
        <v>116</v>
      </c>
      <c r="T16" s="77"/>
      <c r="U16" s="77"/>
      <c r="V16" s="78">
        <f>AVERAGE(V5:V14)</f>
        <v>26.3</v>
      </c>
      <c r="W16" s="71"/>
      <c r="X16" s="97"/>
    </row>
    <row r="17" spans="1:24" x14ac:dyDescent="0.2">
      <c r="A17" s="348"/>
      <c r="B17" s="17"/>
      <c r="C17" s="97"/>
      <c r="D17" s="77"/>
      <c r="E17" s="77"/>
      <c r="F17" s="77"/>
      <c r="G17" s="99" t="s">
        <v>117</v>
      </c>
      <c r="H17" s="100"/>
      <c r="I17" s="77"/>
      <c r="J17" s="78"/>
      <c r="K17" s="79"/>
      <c r="L17" s="97"/>
      <c r="M17" s="99" t="s">
        <v>117</v>
      </c>
      <c r="N17" s="100"/>
      <c r="O17" s="77"/>
      <c r="P17" s="78"/>
      <c r="Q17" s="79"/>
      <c r="R17" s="97"/>
      <c r="S17" s="99" t="s">
        <v>117</v>
      </c>
      <c r="T17" s="100"/>
      <c r="U17" s="77"/>
      <c r="V17" s="78"/>
      <c r="W17" s="79"/>
      <c r="X17" s="97"/>
    </row>
    <row r="18" spans="1:24" ht="16" thickBot="1" x14ac:dyDescent="0.25">
      <c r="A18" s="348"/>
      <c r="B18" s="17"/>
      <c r="C18" s="97"/>
      <c r="D18" s="77"/>
      <c r="E18" s="77"/>
      <c r="F18" s="77"/>
      <c r="G18" s="101" t="s">
        <v>118</v>
      </c>
      <c r="H18" s="102"/>
      <c r="I18" s="80"/>
      <c r="J18" s="81"/>
      <c r="K18" s="82">
        <f>COUNTIF(K5:K14,"&gt;="&amp;1)</f>
        <v>6</v>
      </c>
      <c r="L18" s="97"/>
      <c r="M18" s="101" t="s">
        <v>118</v>
      </c>
      <c r="N18" s="102"/>
      <c r="O18" s="80"/>
      <c r="P18" s="81"/>
      <c r="Q18" s="424">
        <f>COUNTIF(Q5:Q14,"&gt;="&amp;1)</f>
        <v>4</v>
      </c>
      <c r="R18" s="97"/>
      <c r="S18" s="101" t="s">
        <v>118</v>
      </c>
      <c r="T18" s="102"/>
      <c r="U18" s="80"/>
      <c r="V18" s="81"/>
      <c r="W18" s="424">
        <f>COUNTIF(W5:W14,"&gt;="&amp;1)</f>
        <v>4</v>
      </c>
      <c r="X18" s="97"/>
    </row>
    <row r="19" spans="1:24" x14ac:dyDescent="0.2">
      <c r="A19" s="348"/>
      <c r="B19" s="17"/>
      <c r="C19" s="97"/>
      <c r="D19" s="77"/>
      <c r="E19" s="77"/>
      <c r="F19" s="77"/>
      <c r="G19" s="77"/>
      <c r="H19" s="97"/>
      <c r="I19" s="98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</row>
    <row r="20" spans="1:24" x14ac:dyDescent="0.2">
      <c r="A20" s="348"/>
      <c r="B20" s="17"/>
      <c r="C20" s="97"/>
      <c r="D20" s="77"/>
      <c r="E20" s="77"/>
      <c r="F20" s="77"/>
      <c r="G20" s="7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</row>
    <row r="21" spans="1:24" x14ac:dyDescent="0.2">
      <c r="A21" s="348"/>
      <c r="B21"/>
    </row>
    <row r="22" spans="1:24" x14ac:dyDescent="0.2">
      <c r="A22" s="348"/>
      <c r="B22"/>
    </row>
    <row r="23" spans="1:24" x14ac:dyDescent="0.2">
      <c r="A23" s="348"/>
      <c r="B23"/>
    </row>
    <row r="24" spans="1:24" x14ac:dyDescent="0.2">
      <c r="A24" s="348"/>
      <c r="B24"/>
      <c r="D24" s="65"/>
      <c r="E24" s="65"/>
      <c r="F24" s="65"/>
    </row>
    <row r="25" spans="1:24" x14ac:dyDescent="0.2">
      <c r="A25" s="348"/>
      <c r="B25"/>
      <c r="D25" s="65"/>
      <c r="E25" s="65"/>
      <c r="F25" s="65"/>
    </row>
    <row r="26" spans="1:24" x14ac:dyDescent="0.2">
      <c r="A26" s="348"/>
      <c r="B26"/>
      <c r="D26" s="65"/>
      <c r="E26" s="65"/>
      <c r="F26" s="65"/>
    </row>
    <row r="27" spans="1:24" x14ac:dyDescent="0.2">
      <c r="A27" s="348"/>
      <c r="B27"/>
      <c r="D27" s="65"/>
      <c r="E27" s="65"/>
      <c r="F27" s="65"/>
    </row>
    <row r="28" spans="1:24" x14ac:dyDescent="0.2">
      <c r="A28" s="348"/>
      <c r="B28"/>
      <c r="D28" s="65"/>
      <c r="E28" s="65"/>
      <c r="F28" s="65"/>
    </row>
    <row r="29" spans="1:24" x14ac:dyDescent="0.2">
      <c r="A29" s="348"/>
      <c r="B29"/>
      <c r="D29" s="65"/>
      <c r="E29" s="65"/>
      <c r="F29" s="65"/>
    </row>
    <row r="30" spans="1:24" x14ac:dyDescent="0.2">
      <c r="A30" s="348"/>
      <c r="B30"/>
      <c r="D30" s="65"/>
      <c r="E30" s="65"/>
      <c r="F30" s="65"/>
    </row>
    <row r="31" spans="1:24" x14ac:dyDescent="0.2">
      <c r="A31" s="348"/>
      <c r="B31"/>
      <c r="D31" s="65"/>
      <c r="E31" s="65"/>
      <c r="F31" s="65"/>
    </row>
    <row r="32" spans="1:24" x14ac:dyDescent="0.2">
      <c r="A32" s="348"/>
      <c r="B32"/>
      <c r="D32" s="65"/>
      <c r="E32" s="65"/>
      <c r="F32" s="65"/>
    </row>
    <row r="33" spans="1:6" x14ac:dyDescent="0.2">
      <c r="A33" s="348"/>
      <c r="B33"/>
      <c r="D33" s="65"/>
      <c r="E33" s="65"/>
      <c r="F33" s="65"/>
    </row>
    <row r="34" spans="1:6" x14ac:dyDescent="0.2">
      <c r="A34" s="348"/>
      <c r="B34"/>
      <c r="D34" s="65"/>
      <c r="E34" s="65"/>
      <c r="F34" s="65"/>
    </row>
    <row r="35" spans="1:6" x14ac:dyDescent="0.2">
      <c r="A35" s="348"/>
      <c r="B35"/>
      <c r="D35" s="65"/>
      <c r="E35" s="65"/>
      <c r="F35" s="65"/>
    </row>
    <row r="36" spans="1:6" x14ac:dyDescent="0.2">
      <c r="A36" s="348"/>
      <c r="B36"/>
      <c r="D36" s="65"/>
      <c r="E36" s="65"/>
      <c r="F36" s="65"/>
    </row>
    <row r="37" spans="1:6" x14ac:dyDescent="0.2">
      <c r="A37" s="348"/>
      <c r="B37"/>
      <c r="D37" s="65"/>
      <c r="E37" s="65"/>
      <c r="F37" s="65"/>
    </row>
    <row r="38" spans="1:6" x14ac:dyDescent="0.2">
      <c r="A38" s="348"/>
      <c r="B38"/>
      <c r="D38" s="65"/>
      <c r="E38" s="65"/>
      <c r="F38" s="65"/>
    </row>
    <row r="39" spans="1:6" x14ac:dyDescent="0.2">
      <c r="A39" s="348"/>
      <c r="B39"/>
      <c r="D39" s="65"/>
      <c r="E39" s="65"/>
      <c r="F39" s="65"/>
    </row>
    <row r="40" spans="1:6" x14ac:dyDescent="0.2">
      <c r="A40" s="348"/>
      <c r="B40"/>
      <c r="D40" s="65"/>
      <c r="E40" s="65"/>
      <c r="F40" s="65"/>
    </row>
    <row r="41" spans="1:6" x14ac:dyDescent="0.2">
      <c r="A41" s="348"/>
      <c r="B41" s="17"/>
      <c r="D41" s="65"/>
      <c r="E41" s="65"/>
      <c r="F41" s="65"/>
    </row>
    <row r="42" spans="1:6" x14ac:dyDescent="0.2">
      <c r="A42" s="348"/>
      <c r="B42" s="17"/>
      <c r="D42" s="65"/>
      <c r="E42" s="65"/>
      <c r="F42" s="65"/>
    </row>
    <row r="43" spans="1:6" x14ac:dyDescent="0.2">
      <c r="A43" s="348"/>
      <c r="B43" s="17"/>
    </row>
    <row r="44" spans="1:6" x14ac:dyDescent="0.2">
      <c r="A44" s="348"/>
      <c r="B44" s="17"/>
    </row>
    <row r="45" spans="1:6" x14ac:dyDescent="0.2">
      <c r="A45" s="348"/>
      <c r="B45" s="17"/>
    </row>
  </sheetData>
  <sortState xmlns:xlrd2="http://schemas.microsoft.com/office/spreadsheetml/2017/richdata2" ref="G5:I14">
    <sortCondition ref="G5:G14"/>
  </sortState>
  <mergeCells count="4">
    <mergeCell ref="C3:E3"/>
    <mergeCell ref="G3:K3"/>
    <mergeCell ref="M3:Q3"/>
    <mergeCell ref="S3:W3"/>
  </mergeCells>
  <pageMargins left="0.7" right="0.7" top="0.78740157499999996" bottom="0.78740157499999996" header="0.3" footer="0.3"/>
  <picture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33D4-7437-49E0-8798-AC899F116DEA}">
  <sheetPr codeName="Sheet13"/>
  <dimension ref="A1:O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7" sqref="D27"/>
    </sheetView>
  </sheetViews>
  <sheetFormatPr baseColWidth="10" defaultColWidth="8.83203125" defaultRowHeight="15" x14ac:dyDescent="0.2"/>
  <cols>
    <col min="1" max="1" width="3" style="348" customWidth="1"/>
    <col min="3" max="3" width="15.83203125" customWidth="1"/>
    <col min="10" max="10" width="9.83203125" customWidth="1"/>
  </cols>
  <sheetData>
    <row r="1" spans="2:15" s="348" customFormat="1" x14ac:dyDescent="0.2">
      <c r="C1" s="355"/>
      <c r="D1" s="356"/>
      <c r="E1" s="356"/>
      <c r="F1" s="356"/>
      <c r="G1" s="356"/>
      <c r="H1" s="355"/>
      <c r="I1" s="355"/>
      <c r="J1" s="355"/>
      <c r="K1" s="355"/>
      <c r="L1" s="355"/>
    </row>
    <row r="2" spans="2:15" x14ac:dyDescent="0.2">
      <c r="B2" s="17"/>
      <c r="C2" s="97"/>
      <c r="D2" s="77"/>
      <c r="E2" s="77"/>
      <c r="F2" s="77"/>
      <c r="G2" s="17"/>
      <c r="H2" s="97"/>
      <c r="I2" s="77"/>
      <c r="J2" s="77"/>
      <c r="K2" s="77"/>
      <c r="L2" s="97"/>
    </row>
    <row r="3" spans="2:15" ht="16" thickBot="1" x14ac:dyDescent="0.25">
      <c r="B3" s="17"/>
      <c r="C3" s="27" t="s">
        <v>119</v>
      </c>
      <c r="D3" s="115"/>
      <c r="E3" s="115"/>
      <c r="F3" s="115"/>
      <c r="G3" s="115"/>
      <c r="H3" s="115"/>
      <c r="I3" s="17"/>
      <c r="J3" s="17"/>
      <c r="K3" s="17"/>
      <c r="L3" s="17"/>
      <c r="M3" s="17"/>
      <c r="N3" s="17"/>
      <c r="O3" s="17"/>
    </row>
    <row r="4" spans="2:15" x14ac:dyDescent="0.2">
      <c r="B4" s="17"/>
      <c r="C4" s="116"/>
      <c r="D4" s="450" t="s">
        <v>120</v>
      </c>
      <c r="E4" s="451"/>
      <c r="F4" s="451"/>
      <c r="G4" s="452"/>
      <c r="H4" s="115"/>
      <c r="I4" s="17"/>
      <c r="J4" s="17"/>
      <c r="K4" s="17"/>
      <c r="L4" s="17"/>
      <c r="M4" s="17"/>
      <c r="N4" s="17"/>
      <c r="O4" s="17"/>
    </row>
    <row r="5" spans="2:15" x14ac:dyDescent="0.2">
      <c r="B5" s="17"/>
      <c r="C5" s="335" t="s">
        <v>121</v>
      </c>
      <c r="D5" s="117" t="s">
        <v>122</v>
      </c>
      <c r="E5" s="117" t="s">
        <v>123</v>
      </c>
      <c r="F5" s="117" t="s">
        <v>124</v>
      </c>
      <c r="G5" s="118" t="s">
        <v>125</v>
      </c>
      <c r="H5" s="115"/>
      <c r="I5" s="17"/>
      <c r="J5" s="17"/>
      <c r="K5" s="17"/>
      <c r="L5" s="17"/>
      <c r="M5" s="17"/>
      <c r="N5" s="17"/>
      <c r="O5" s="17"/>
    </row>
    <row r="6" spans="2:15" x14ac:dyDescent="0.2">
      <c r="B6" s="17"/>
      <c r="C6" s="119" t="s">
        <v>126</v>
      </c>
      <c r="D6" s="3">
        <v>5</v>
      </c>
      <c r="E6" s="3">
        <v>5</v>
      </c>
      <c r="F6" s="3" t="s">
        <v>127</v>
      </c>
      <c r="G6" s="103">
        <v>2</v>
      </c>
      <c r="H6" s="115"/>
      <c r="I6" s="17"/>
      <c r="J6" s="17"/>
      <c r="K6" s="17"/>
      <c r="L6" s="17"/>
      <c r="M6" s="17"/>
      <c r="N6" s="17"/>
      <c r="O6" s="17"/>
    </row>
    <row r="7" spans="2:15" x14ac:dyDescent="0.2">
      <c r="B7" s="17"/>
      <c r="C7" s="119" t="s">
        <v>128</v>
      </c>
      <c r="D7" s="3" t="s">
        <v>127</v>
      </c>
      <c r="E7" s="3">
        <v>3</v>
      </c>
      <c r="F7" s="3">
        <v>6</v>
      </c>
      <c r="G7" s="103">
        <v>2</v>
      </c>
      <c r="H7" s="115"/>
      <c r="I7" s="17"/>
      <c r="J7" s="17"/>
      <c r="K7" s="17"/>
      <c r="L7" s="17"/>
      <c r="M7" s="17"/>
      <c r="N7" s="17"/>
      <c r="O7" s="17"/>
    </row>
    <row r="8" spans="2:15" x14ac:dyDescent="0.2">
      <c r="B8" s="17"/>
      <c r="C8" s="119" t="s">
        <v>129</v>
      </c>
      <c r="D8" s="3">
        <v>4</v>
      </c>
      <c r="E8" s="3" t="s">
        <v>127</v>
      </c>
      <c r="F8" s="3">
        <v>8</v>
      </c>
      <c r="G8" s="103">
        <v>1</v>
      </c>
      <c r="H8" s="115"/>
      <c r="I8" s="17"/>
      <c r="J8" s="17"/>
      <c r="K8" s="17"/>
      <c r="L8" s="17"/>
      <c r="M8" s="17"/>
      <c r="N8" s="17"/>
      <c r="O8" s="17"/>
    </row>
    <row r="9" spans="2:15" ht="16" thickBot="1" x14ac:dyDescent="0.25">
      <c r="B9" s="17"/>
      <c r="C9" s="120" t="s">
        <v>130</v>
      </c>
      <c r="D9" s="104">
        <v>2</v>
      </c>
      <c r="E9" s="104">
        <v>5</v>
      </c>
      <c r="F9" s="104">
        <v>7</v>
      </c>
      <c r="G9" s="105" t="s">
        <v>127</v>
      </c>
      <c r="H9" s="115"/>
      <c r="I9" s="17"/>
      <c r="J9" s="17"/>
      <c r="K9" s="17"/>
      <c r="L9" s="17"/>
      <c r="M9" s="17"/>
      <c r="N9" s="17"/>
      <c r="O9" s="17"/>
    </row>
    <row r="10" spans="2:15" x14ac:dyDescent="0.2">
      <c r="B10" s="17"/>
      <c r="C10" s="4" t="s">
        <v>131</v>
      </c>
      <c r="D10" s="1"/>
      <c r="E10" s="115"/>
      <c r="F10" s="115"/>
      <c r="G10" s="115"/>
      <c r="H10" s="115"/>
      <c r="I10" s="17"/>
      <c r="J10" s="17"/>
      <c r="K10" s="17"/>
      <c r="L10" s="17"/>
      <c r="M10" s="17"/>
      <c r="N10" s="17"/>
      <c r="O10" s="17"/>
    </row>
    <row r="11" spans="2:15" ht="17" x14ac:dyDescent="0.2">
      <c r="B11" s="17"/>
      <c r="C11" s="1"/>
      <c r="D11" s="1"/>
      <c r="E11" s="1"/>
      <c r="F11" s="1"/>
      <c r="G11" s="1"/>
      <c r="H11" s="1"/>
      <c r="I11" s="106"/>
      <c r="J11" s="106"/>
      <c r="K11" s="106"/>
      <c r="L11" s="106"/>
      <c r="M11" s="106"/>
      <c r="N11" s="106"/>
      <c r="O11" s="106"/>
    </row>
    <row r="12" spans="2:15" ht="18" thickBot="1" x14ac:dyDescent="0.25">
      <c r="B12" s="17"/>
      <c r="C12" s="4" t="s">
        <v>132</v>
      </c>
      <c r="D12" s="1"/>
      <c r="E12" s="1"/>
      <c r="F12" s="1"/>
      <c r="G12" s="1"/>
      <c r="H12" s="1"/>
      <c r="I12" s="106"/>
      <c r="J12" s="106"/>
      <c r="K12" s="106"/>
      <c r="L12" s="106"/>
      <c r="M12" s="106"/>
      <c r="N12" s="106"/>
      <c r="O12" s="106"/>
    </row>
    <row r="13" spans="2:15" ht="17" x14ac:dyDescent="0.2">
      <c r="B13" s="17"/>
      <c r="C13" s="347" t="s">
        <v>133</v>
      </c>
      <c r="D13" s="451" t="s">
        <v>120</v>
      </c>
      <c r="E13" s="451"/>
      <c r="F13" s="451"/>
      <c r="G13" s="451"/>
      <c r="H13" s="344"/>
      <c r="I13" s="106"/>
      <c r="J13" s="447" t="s">
        <v>134</v>
      </c>
      <c r="K13" s="448"/>
      <c r="L13" s="448"/>
      <c r="M13" s="448"/>
      <c r="N13" s="448"/>
      <c r="O13" s="449"/>
    </row>
    <row r="14" spans="2:15" ht="17" x14ac:dyDescent="0.2">
      <c r="B14" s="17"/>
      <c r="C14" s="335" t="s">
        <v>121</v>
      </c>
      <c r="D14" s="117" t="s">
        <v>122</v>
      </c>
      <c r="E14" s="117" t="s">
        <v>123</v>
      </c>
      <c r="F14" s="117" t="s">
        <v>124</v>
      </c>
      <c r="G14" s="117" t="s">
        <v>125</v>
      </c>
      <c r="H14" s="345" t="s">
        <v>135</v>
      </c>
      <c r="I14" s="106"/>
      <c r="J14" s="121" t="s">
        <v>136</v>
      </c>
      <c r="K14" s="122" t="s">
        <v>137</v>
      </c>
      <c r="L14" s="122" t="s">
        <v>135</v>
      </c>
      <c r="M14" s="122" t="s">
        <v>138</v>
      </c>
      <c r="N14" s="123"/>
      <c r="O14" s="124"/>
    </row>
    <row r="15" spans="2:15" ht="17" x14ac:dyDescent="0.2">
      <c r="B15" s="17"/>
      <c r="C15" s="119" t="s">
        <v>126</v>
      </c>
      <c r="D15" s="336">
        <v>0</v>
      </c>
      <c r="E15" s="337">
        <v>600</v>
      </c>
      <c r="F15" s="337">
        <v>0</v>
      </c>
      <c r="G15" s="338">
        <v>400</v>
      </c>
      <c r="H15" s="125">
        <f>SUM(D15:G15)</f>
        <v>1000</v>
      </c>
      <c r="I15" s="106"/>
      <c r="J15" s="119" t="s">
        <v>126</v>
      </c>
      <c r="K15" s="107"/>
      <c r="L15" s="107">
        <v>1000</v>
      </c>
      <c r="M15" s="107">
        <f>K15-L15</f>
        <v>-1000</v>
      </c>
      <c r="N15" s="107" t="s">
        <v>139</v>
      </c>
      <c r="O15" s="108">
        <v>-1000</v>
      </c>
    </row>
    <row r="16" spans="2:15" ht="17" x14ac:dyDescent="0.2">
      <c r="B16" s="17"/>
      <c r="C16" s="119" t="s">
        <v>128</v>
      </c>
      <c r="D16" s="339">
        <v>0</v>
      </c>
      <c r="E16" s="340">
        <v>0</v>
      </c>
      <c r="F16" s="341">
        <v>500</v>
      </c>
      <c r="G16" s="131">
        <v>0</v>
      </c>
      <c r="H16" s="125">
        <f t="shared" ref="H16:H18" si="0">SUM(D16:G16)</f>
        <v>500</v>
      </c>
      <c r="I16" s="106"/>
      <c r="J16" s="119" t="s">
        <v>128</v>
      </c>
      <c r="K16" s="107"/>
      <c r="L16" s="107">
        <v>500</v>
      </c>
      <c r="M16" s="107">
        <f t="shared" ref="M16:M22" si="1">K16-L16</f>
        <v>-500</v>
      </c>
      <c r="N16" s="130" t="s">
        <v>140</v>
      </c>
      <c r="O16" s="108">
        <v>-500</v>
      </c>
    </row>
    <row r="17" spans="2:15" ht="17" x14ac:dyDescent="0.2">
      <c r="B17" s="17"/>
      <c r="C17" s="119" t="s">
        <v>129</v>
      </c>
      <c r="D17" s="342">
        <v>100</v>
      </c>
      <c r="E17" s="341">
        <v>0</v>
      </c>
      <c r="F17" s="341">
        <v>400</v>
      </c>
      <c r="G17" s="133">
        <v>300</v>
      </c>
      <c r="H17" s="125">
        <f t="shared" si="0"/>
        <v>800</v>
      </c>
      <c r="I17" s="106"/>
      <c r="J17" s="119" t="s">
        <v>129</v>
      </c>
      <c r="K17" s="107"/>
      <c r="L17" s="107">
        <v>800</v>
      </c>
      <c r="M17" s="107">
        <f t="shared" si="1"/>
        <v>-800</v>
      </c>
      <c r="N17" s="107" t="s">
        <v>139</v>
      </c>
      <c r="O17" s="108">
        <v>-800</v>
      </c>
    </row>
    <row r="18" spans="2:15" ht="17" x14ac:dyDescent="0.2">
      <c r="B18" s="17"/>
      <c r="C18" s="346" t="s">
        <v>130</v>
      </c>
      <c r="D18" s="343">
        <v>400</v>
      </c>
      <c r="E18" s="132">
        <v>0</v>
      </c>
      <c r="F18" s="132">
        <v>0</v>
      </c>
      <c r="G18" s="134">
        <v>0</v>
      </c>
      <c r="H18" s="125">
        <f t="shared" si="0"/>
        <v>400</v>
      </c>
      <c r="I18" s="106"/>
      <c r="J18" s="346" t="s">
        <v>130</v>
      </c>
      <c r="K18" s="109"/>
      <c r="L18" s="109">
        <v>400</v>
      </c>
      <c r="M18" s="109">
        <f t="shared" si="1"/>
        <v>-400</v>
      </c>
      <c r="N18" s="109" t="s">
        <v>139</v>
      </c>
      <c r="O18" s="110">
        <v>-400</v>
      </c>
    </row>
    <row r="19" spans="2:15" ht="18" thickBot="1" x14ac:dyDescent="0.25">
      <c r="B19" s="17"/>
      <c r="C19" s="120" t="s">
        <v>137</v>
      </c>
      <c r="D19" s="126">
        <f>SUM(D15:D18)</f>
        <v>500</v>
      </c>
      <c r="E19" s="126">
        <f t="shared" ref="E19:G19" si="2">SUM(E15:E18)</f>
        <v>600</v>
      </c>
      <c r="F19" s="126">
        <f t="shared" si="2"/>
        <v>900</v>
      </c>
      <c r="G19" s="126">
        <f t="shared" si="2"/>
        <v>700</v>
      </c>
      <c r="H19" s="112"/>
      <c r="I19" s="106"/>
      <c r="J19" s="119" t="s">
        <v>122</v>
      </c>
      <c r="K19" s="107">
        <v>500</v>
      </c>
      <c r="L19" s="107"/>
      <c r="M19" s="107">
        <f t="shared" si="1"/>
        <v>500</v>
      </c>
      <c r="N19" s="107" t="s">
        <v>139</v>
      </c>
      <c r="O19" s="108">
        <v>500</v>
      </c>
    </row>
    <row r="20" spans="2:15" ht="18" thickBot="1" x14ac:dyDescent="0.25">
      <c r="B20" s="17"/>
      <c r="C20" s="46"/>
      <c r="D20" s="106"/>
      <c r="E20" s="106"/>
      <c r="F20" s="106"/>
      <c r="G20" s="106"/>
      <c r="H20" s="106"/>
      <c r="I20" s="106"/>
      <c r="J20" s="119" t="s">
        <v>123</v>
      </c>
      <c r="K20" s="107">
        <v>600</v>
      </c>
      <c r="L20" s="107"/>
      <c r="M20" s="107">
        <f t="shared" si="1"/>
        <v>600</v>
      </c>
      <c r="N20" s="107" t="s">
        <v>139</v>
      </c>
      <c r="O20" s="108">
        <v>600</v>
      </c>
    </row>
    <row r="21" spans="2:15" ht="17" x14ac:dyDescent="0.2">
      <c r="B21" s="17"/>
      <c r="C21" s="347" t="s">
        <v>141</v>
      </c>
      <c r="D21" s="451" t="s">
        <v>120</v>
      </c>
      <c r="E21" s="451"/>
      <c r="F21" s="451"/>
      <c r="G21" s="452"/>
      <c r="H21" s="106"/>
      <c r="I21" s="106"/>
      <c r="J21" s="119" t="s">
        <v>124</v>
      </c>
      <c r="K21" s="107">
        <v>900</v>
      </c>
      <c r="L21" s="107"/>
      <c r="M21" s="107">
        <f t="shared" si="1"/>
        <v>900</v>
      </c>
      <c r="N21" s="130" t="s">
        <v>140</v>
      </c>
      <c r="O21" s="108">
        <v>900</v>
      </c>
    </row>
    <row r="22" spans="2:15" ht="17" x14ac:dyDescent="0.2">
      <c r="B22" s="17"/>
      <c r="C22" s="335" t="s">
        <v>121</v>
      </c>
      <c r="D22" s="117" t="s">
        <v>122</v>
      </c>
      <c r="E22" s="117" t="s">
        <v>123</v>
      </c>
      <c r="F22" s="117" t="s">
        <v>124</v>
      </c>
      <c r="G22" s="118" t="s">
        <v>125</v>
      </c>
      <c r="H22" s="106"/>
      <c r="I22" s="106"/>
      <c r="J22" s="346" t="s">
        <v>125</v>
      </c>
      <c r="K22" s="109">
        <v>700</v>
      </c>
      <c r="L22" s="109"/>
      <c r="M22" s="109">
        <f t="shared" si="1"/>
        <v>700</v>
      </c>
      <c r="N22" s="109" t="s">
        <v>139</v>
      </c>
      <c r="O22" s="110">
        <v>700</v>
      </c>
    </row>
    <row r="23" spans="2:15" ht="18" thickBot="1" x14ac:dyDescent="0.25">
      <c r="B23" s="17"/>
      <c r="C23" s="119" t="s">
        <v>126</v>
      </c>
      <c r="D23" s="3">
        <v>5</v>
      </c>
      <c r="E23" s="3">
        <v>5</v>
      </c>
      <c r="F23" s="3" t="s">
        <v>127</v>
      </c>
      <c r="G23" s="103">
        <v>2</v>
      </c>
      <c r="H23" s="3"/>
      <c r="I23" s="106"/>
      <c r="J23" s="127"/>
      <c r="K23" s="113"/>
      <c r="L23" s="113"/>
      <c r="M23" s="113" t="s">
        <v>142</v>
      </c>
      <c r="N23" s="113" t="s">
        <v>143</v>
      </c>
      <c r="O23" s="114" t="s">
        <v>144</v>
      </c>
    </row>
    <row r="24" spans="2:15" ht="17" x14ac:dyDescent="0.2">
      <c r="B24" s="17"/>
      <c r="C24" s="119" t="s">
        <v>128</v>
      </c>
      <c r="D24" s="3" t="s">
        <v>127</v>
      </c>
      <c r="E24" s="3">
        <v>3</v>
      </c>
      <c r="F24" s="3">
        <v>6</v>
      </c>
      <c r="G24" s="103">
        <v>2</v>
      </c>
      <c r="H24" s="106"/>
      <c r="I24" s="106"/>
      <c r="J24" s="17"/>
      <c r="K24" s="17"/>
      <c r="L24" s="17"/>
      <c r="M24" s="17"/>
      <c r="N24" s="17"/>
      <c r="O24" s="17"/>
    </row>
    <row r="25" spans="2:15" ht="17" x14ac:dyDescent="0.2">
      <c r="B25" s="17"/>
      <c r="C25" s="119" t="s">
        <v>129</v>
      </c>
      <c r="D25" s="3">
        <v>4</v>
      </c>
      <c r="E25" s="3" t="s">
        <v>127</v>
      </c>
      <c r="F25" s="3">
        <v>8</v>
      </c>
      <c r="G25" s="103">
        <v>1</v>
      </c>
      <c r="H25" s="106"/>
      <c r="I25" s="106"/>
      <c r="J25" s="17"/>
      <c r="K25" s="17"/>
      <c r="L25" s="17"/>
      <c r="M25" s="17"/>
      <c r="N25" s="17"/>
      <c r="O25" s="17"/>
    </row>
    <row r="26" spans="2:15" ht="18" thickBot="1" x14ac:dyDescent="0.25">
      <c r="B26" s="17"/>
      <c r="C26" s="120" t="s">
        <v>130</v>
      </c>
      <c r="D26" s="104">
        <v>2</v>
      </c>
      <c r="E26" s="104">
        <v>5</v>
      </c>
      <c r="F26" s="104">
        <v>7</v>
      </c>
      <c r="G26" s="105" t="s">
        <v>127</v>
      </c>
      <c r="H26" s="106"/>
      <c r="I26" s="106"/>
      <c r="J26" s="128"/>
      <c r="K26" s="128"/>
      <c r="L26" s="128"/>
      <c r="M26" s="128"/>
      <c r="N26" s="106"/>
      <c r="O26" s="106"/>
    </row>
    <row r="27" spans="2:15" ht="18" thickBot="1" x14ac:dyDescent="0.25">
      <c r="B27" s="17"/>
      <c r="C27" s="129" t="s">
        <v>40</v>
      </c>
      <c r="D27" s="425">
        <f>SUMPRODUCT(D15:G18,D23:G26)</f>
        <v>11500</v>
      </c>
      <c r="E27" s="111"/>
      <c r="F27" s="111"/>
      <c r="G27" s="112"/>
      <c r="H27" s="106"/>
      <c r="I27" s="106"/>
      <c r="J27" s="128"/>
      <c r="K27" s="128"/>
      <c r="L27" s="128"/>
      <c r="M27" s="128"/>
      <c r="N27" s="106"/>
      <c r="O27" s="106"/>
    </row>
    <row r="28" spans="2:15" ht="17" x14ac:dyDescent="0.2">
      <c r="B28" s="17"/>
      <c r="C28" s="106"/>
      <c r="D28" s="106"/>
      <c r="E28" s="106"/>
      <c r="F28" s="106"/>
      <c r="G28" s="106"/>
      <c r="H28" s="106"/>
      <c r="I28" s="106"/>
      <c r="J28" s="128"/>
      <c r="K28" s="128"/>
      <c r="L28" s="128"/>
      <c r="M28" s="128"/>
      <c r="N28" s="106"/>
      <c r="O28" s="106"/>
    </row>
    <row r="29" spans="2:15" ht="17" x14ac:dyDescent="0.2">
      <c r="B29" s="17"/>
      <c r="C29" s="97"/>
      <c r="D29" s="77"/>
      <c r="E29" s="77"/>
      <c r="F29" s="77"/>
      <c r="G29" s="17"/>
      <c r="H29" s="106"/>
      <c r="I29" s="106"/>
      <c r="J29" s="128"/>
      <c r="K29" s="128"/>
      <c r="L29" s="128"/>
      <c r="M29" s="128"/>
      <c r="N29" s="106"/>
      <c r="O29" s="106"/>
    </row>
    <row r="30" spans="2:15" x14ac:dyDescent="0.2">
      <c r="B30" s="17"/>
      <c r="C30" s="97"/>
      <c r="D30" s="77"/>
      <c r="E30" s="77"/>
      <c r="F30" s="77"/>
      <c r="G30" s="17"/>
      <c r="H30" s="97"/>
      <c r="I30" s="77"/>
      <c r="J30" s="77"/>
      <c r="K30" s="77"/>
      <c r="L30" s="97"/>
    </row>
    <row r="31" spans="2:15" x14ac:dyDescent="0.2">
      <c r="B31" s="17"/>
      <c r="C31" s="97"/>
      <c r="D31" s="77"/>
      <c r="E31" s="77"/>
      <c r="F31" s="77"/>
      <c r="G31" s="17"/>
      <c r="H31" s="97"/>
      <c r="I31" s="77"/>
      <c r="J31" s="77"/>
      <c r="K31" s="77"/>
      <c r="L31" s="97"/>
    </row>
    <row r="32" spans="2:15" x14ac:dyDescent="0.2">
      <c r="B32" s="17"/>
      <c r="C32" s="97"/>
      <c r="D32" s="77"/>
      <c r="E32" s="77"/>
      <c r="F32" s="77"/>
      <c r="G32" s="17"/>
      <c r="H32" s="97"/>
      <c r="I32" s="77"/>
      <c r="J32" s="77"/>
      <c r="K32" s="77"/>
      <c r="L32" s="97"/>
    </row>
    <row r="33" spans="2:12" x14ac:dyDescent="0.2">
      <c r="B33" s="17"/>
      <c r="C33" s="97"/>
      <c r="D33" s="77"/>
      <c r="E33" s="77"/>
      <c r="F33" s="77"/>
      <c r="G33" s="17"/>
      <c r="H33" s="97"/>
      <c r="I33" s="77"/>
      <c r="J33" s="77"/>
      <c r="K33" s="77"/>
      <c r="L33" s="97"/>
    </row>
    <row r="34" spans="2:12" x14ac:dyDescent="0.2">
      <c r="B34" s="17"/>
      <c r="C34" s="97"/>
      <c r="D34" s="77"/>
      <c r="E34" s="77"/>
      <c r="F34" s="77"/>
      <c r="G34" s="17"/>
      <c r="H34" s="97"/>
      <c r="I34" s="77"/>
      <c r="J34" s="77"/>
      <c r="K34" s="77"/>
      <c r="L34" s="97"/>
    </row>
    <row r="35" spans="2:12" x14ac:dyDescent="0.2">
      <c r="B35" s="17"/>
      <c r="C35" s="97"/>
      <c r="D35" s="77"/>
      <c r="E35" s="77"/>
      <c r="F35" s="77"/>
      <c r="G35" s="77"/>
      <c r="H35" s="97"/>
      <c r="I35" s="77"/>
      <c r="J35" s="77"/>
      <c r="K35" s="77"/>
      <c r="L35" s="97"/>
    </row>
    <row r="36" spans="2:12" x14ac:dyDescent="0.2">
      <c r="B36" s="17"/>
      <c r="H36" s="97"/>
      <c r="I36" s="97"/>
      <c r="J36" s="97"/>
      <c r="K36" s="97"/>
      <c r="L36" s="97"/>
    </row>
  </sheetData>
  <mergeCells count="4">
    <mergeCell ref="J13:O13"/>
    <mergeCell ref="D4:G4"/>
    <mergeCell ref="D13:G13"/>
    <mergeCell ref="D21:G21"/>
  </mergeCells>
  <pageMargins left="0.7" right="0.7" top="0.75" bottom="0.75" header="0.3" footer="0.3"/>
  <picture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9A286-1F83-4CA8-9A16-70EFEFACA2E3}">
  <sheetPr codeName="Sheet25"/>
  <dimension ref="A1:J3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0" sqref="H30"/>
    </sheetView>
  </sheetViews>
  <sheetFormatPr baseColWidth="10" defaultColWidth="8.83203125" defaultRowHeight="15" x14ac:dyDescent="0.2"/>
  <cols>
    <col min="1" max="1" width="3.5" style="348" customWidth="1"/>
    <col min="3" max="3" width="21.6640625" customWidth="1"/>
    <col min="4" max="4" width="19.33203125" customWidth="1"/>
    <col min="5" max="5" width="20.1640625" customWidth="1"/>
    <col min="6" max="6" width="15.6640625" customWidth="1"/>
    <col min="7" max="7" width="31.1640625" customWidth="1"/>
    <col min="8" max="8" width="24.1640625" customWidth="1"/>
  </cols>
  <sheetData>
    <row r="1" spans="2:10" s="348" customFormat="1" x14ac:dyDescent="0.2"/>
    <row r="2" spans="2:10" ht="16" thickBot="1" x14ac:dyDescent="0.25">
      <c r="B2" s="17"/>
      <c r="C2" s="17"/>
      <c r="D2" s="17"/>
      <c r="E2" s="17"/>
      <c r="F2" s="17"/>
      <c r="G2" s="17"/>
      <c r="H2" s="17"/>
      <c r="I2" s="17"/>
      <c r="J2" s="17"/>
    </row>
    <row r="3" spans="2:10" x14ac:dyDescent="0.2">
      <c r="B3" s="17"/>
      <c r="C3" s="453" t="s">
        <v>145</v>
      </c>
      <c r="D3" s="454"/>
      <c r="E3" s="454"/>
      <c r="F3" s="454"/>
      <c r="G3" s="455"/>
      <c r="H3" s="226"/>
      <c r="I3" s="17"/>
      <c r="J3" s="17"/>
    </row>
    <row r="4" spans="2:10" ht="16" thickBot="1" x14ac:dyDescent="0.25">
      <c r="B4" s="17"/>
      <c r="C4" s="456"/>
      <c r="D4" s="457"/>
      <c r="E4" s="457"/>
      <c r="F4" s="457"/>
      <c r="G4" s="458"/>
      <c r="H4" s="226"/>
      <c r="I4" s="17"/>
      <c r="J4" s="17"/>
    </row>
    <row r="5" spans="2:10" x14ac:dyDescent="0.2">
      <c r="B5" s="17"/>
      <c r="C5" s="227" t="s">
        <v>146</v>
      </c>
      <c r="D5" s="228"/>
      <c r="E5" s="228"/>
      <c r="F5" s="229">
        <v>6</v>
      </c>
      <c r="G5" s="230" t="s">
        <v>67</v>
      </c>
      <c r="H5" s="17"/>
      <c r="I5" s="17"/>
      <c r="J5" s="17"/>
    </row>
    <row r="6" spans="2:10" x14ac:dyDescent="0.2">
      <c r="B6" s="17"/>
      <c r="C6" s="227" t="s">
        <v>147</v>
      </c>
      <c r="D6" s="228"/>
      <c r="E6" s="228"/>
      <c r="F6" s="231">
        <v>150</v>
      </c>
      <c r="G6" s="230" t="s">
        <v>148</v>
      </c>
      <c r="H6" s="17"/>
      <c r="I6" s="17"/>
      <c r="J6" s="17"/>
    </row>
    <row r="7" spans="2:10" x14ac:dyDescent="0.2">
      <c r="B7" s="17"/>
      <c r="C7" s="227" t="s">
        <v>149</v>
      </c>
      <c r="D7" s="228"/>
      <c r="E7" s="228"/>
      <c r="F7" s="231">
        <v>45</v>
      </c>
      <c r="G7" s="230" t="s">
        <v>150</v>
      </c>
      <c r="H7" s="17"/>
      <c r="I7" s="17"/>
      <c r="J7" s="17"/>
    </row>
    <row r="8" spans="2:10" x14ac:dyDescent="0.2">
      <c r="B8" s="17"/>
      <c r="C8" s="227" t="s">
        <v>151</v>
      </c>
      <c r="D8" s="228"/>
      <c r="E8" s="228"/>
      <c r="F8" s="232">
        <v>0.2</v>
      </c>
      <c r="G8" s="230" t="s">
        <v>152</v>
      </c>
      <c r="H8" s="17"/>
      <c r="I8" s="17"/>
      <c r="J8" s="17"/>
    </row>
    <row r="9" spans="2:10" x14ac:dyDescent="0.2">
      <c r="B9" s="17"/>
      <c r="C9" s="227" t="s">
        <v>153</v>
      </c>
      <c r="D9" s="228"/>
      <c r="E9" s="228"/>
      <c r="F9" s="231">
        <f>F8*F6</f>
        <v>30</v>
      </c>
      <c r="G9" s="230" t="s">
        <v>150</v>
      </c>
      <c r="H9" s="17"/>
      <c r="I9" s="17"/>
      <c r="J9" s="17"/>
    </row>
    <row r="10" spans="2:10" x14ac:dyDescent="0.2">
      <c r="B10" s="17"/>
      <c r="C10" s="227" t="s">
        <v>154</v>
      </c>
      <c r="D10" s="228"/>
      <c r="E10" s="228"/>
      <c r="F10" s="233">
        <f>F7/(F7+F9)</f>
        <v>0.6</v>
      </c>
      <c r="G10" s="230"/>
      <c r="H10" s="234"/>
      <c r="I10" s="17"/>
      <c r="J10" s="17"/>
    </row>
    <row r="11" spans="2:10" x14ac:dyDescent="0.2">
      <c r="B11" s="17"/>
      <c r="C11" s="227" t="s">
        <v>155</v>
      </c>
      <c r="D11" s="228"/>
      <c r="E11" s="228"/>
      <c r="F11" s="235">
        <f>_xlfn.NORM.S.INV(F10)</f>
        <v>0.25334710313579978</v>
      </c>
      <c r="G11" s="230"/>
      <c r="H11" s="234"/>
      <c r="I11" s="17"/>
      <c r="J11" s="17"/>
    </row>
    <row r="12" spans="2:10" ht="16" thickBot="1" x14ac:dyDescent="0.25">
      <c r="B12" s="17"/>
      <c r="C12" s="236" t="s">
        <v>156</v>
      </c>
      <c r="D12" s="237"/>
      <c r="E12" s="237"/>
      <c r="F12" s="238">
        <f>_xlfn.NORM.S.DIST(F11,FALSE)</f>
        <v>0.38634253349686049</v>
      </c>
      <c r="G12" s="239"/>
      <c r="H12" s="234"/>
      <c r="I12" s="17"/>
      <c r="J12" s="17"/>
    </row>
    <row r="13" spans="2:10" ht="16" thickBot="1" x14ac:dyDescent="0.25">
      <c r="B13" s="17"/>
      <c r="C13" s="17"/>
      <c r="D13" s="17"/>
      <c r="E13" s="17"/>
      <c r="F13" s="17"/>
      <c r="G13" s="17"/>
      <c r="H13" s="17"/>
      <c r="I13" s="17"/>
      <c r="J13" s="17"/>
    </row>
    <row r="14" spans="2:10" ht="16" thickBot="1" x14ac:dyDescent="0.25">
      <c r="B14" s="17"/>
      <c r="C14" s="459" t="s">
        <v>157</v>
      </c>
      <c r="D14" s="460"/>
      <c r="E14" s="460"/>
      <c r="F14" s="460"/>
      <c r="G14" s="460"/>
      <c r="H14" s="461"/>
      <c r="I14" s="17"/>
      <c r="J14" s="17"/>
    </row>
    <row r="15" spans="2:10" x14ac:dyDescent="0.2">
      <c r="B15" s="17"/>
      <c r="C15" s="240"/>
      <c r="D15" s="241" t="s">
        <v>158</v>
      </c>
      <c r="E15" s="242" t="s">
        <v>159</v>
      </c>
      <c r="F15" s="242" t="s">
        <v>160</v>
      </c>
      <c r="G15" s="242" t="s">
        <v>161</v>
      </c>
      <c r="H15" s="243" t="s">
        <v>162</v>
      </c>
      <c r="I15" s="17"/>
      <c r="J15" s="17"/>
    </row>
    <row r="16" spans="2:10" ht="17" x14ac:dyDescent="0.25">
      <c r="B16" s="17"/>
      <c r="C16" s="244"/>
      <c r="D16" s="245"/>
      <c r="E16" s="246"/>
      <c r="F16" s="246"/>
      <c r="G16" s="247" t="s">
        <v>163</v>
      </c>
      <c r="H16" s="248" t="s">
        <v>164</v>
      </c>
      <c r="I16" s="17"/>
      <c r="J16" s="17"/>
    </row>
    <row r="17" spans="2:10" x14ac:dyDescent="0.2">
      <c r="B17" s="17"/>
      <c r="C17" s="249" t="s">
        <v>165</v>
      </c>
      <c r="D17" s="250" t="s">
        <v>166</v>
      </c>
      <c r="E17" s="251" t="s">
        <v>166</v>
      </c>
      <c r="F17" s="251" t="s">
        <v>167</v>
      </c>
      <c r="G17" s="251" t="s">
        <v>52</v>
      </c>
      <c r="H17" s="252" t="s">
        <v>168</v>
      </c>
      <c r="I17" s="17"/>
      <c r="J17" s="17"/>
    </row>
    <row r="18" spans="2:10" x14ac:dyDescent="0.2">
      <c r="B18" s="17"/>
      <c r="C18" s="244" t="s">
        <v>169</v>
      </c>
      <c r="D18" s="253">
        <v>1000</v>
      </c>
      <c r="E18" s="254">
        <v>220</v>
      </c>
      <c r="F18" s="255">
        <f>E18/D18</f>
        <v>0.22</v>
      </c>
      <c r="G18" s="256">
        <f>D18*7+E18*SQRT(7)*$F$11</f>
        <v>7147.4645546607107</v>
      </c>
      <c r="H18" s="257">
        <f>($F$9+$F$7)*$F$12*SQRT(7)*E18</f>
        <v>16865.743364569014</v>
      </c>
      <c r="I18" s="17"/>
      <c r="J18" s="17"/>
    </row>
    <row r="19" spans="2:10" x14ac:dyDescent="0.2">
      <c r="B19" s="17"/>
      <c r="C19" s="244" t="s">
        <v>170</v>
      </c>
      <c r="D19" s="253">
        <v>650</v>
      </c>
      <c r="E19" s="254">
        <v>200</v>
      </c>
      <c r="F19" s="255">
        <f t="shared" ref="F19:F20" si="0">E19/D19</f>
        <v>0.30769230769230771</v>
      </c>
      <c r="G19" s="256">
        <f t="shared" ref="G19" si="1">D19*7+E19*SQRT(7)*$F$11</f>
        <v>4684.0586860551921</v>
      </c>
      <c r="H19" s="257">
        <f t="shared" ref="H19" si="2">($F$9+$F$7)*$F$12*SQRT(7)*E19</f>
        <v>15332.493967790011</v>
      </c>
      <c r="I19" s="17"/>
      <c r="J19" s="17"/>
    </row>
    <row r="20" spans="2:10" x14ac:dyDescent="0.2">
      <c r="B20" s="17"/>
      <c r="C20" s="244" t="s">
        <v>171</v>
      </c>
      <c r="D20" s="253">
        <v>200</v>
      </c>
      <c r="E20" s="254">
        <v>85</v>
      </c>
      <c r="F20" s="255">
        <f t="shared" si="0"/>
        <v>0.42499999999999999</v>
      </c>
      <c r="G20" s="256">
        <f>D20*7+E20*SQRT(7)*$F$11</f>
        <v>1456.9749415734564</v>
      </c>
      <c r="H20" s="257">
        <f>($F$9+$F$7)*$F$12*SQRT(7)*E20</f>
        <v>6516.3099363107549</v>
      </c>
      <c r="I20" s="17"/>
      <c r="J20" s="17"/>
    </row>
    <row r="21" spans="2:10" ht="16" thickBot="1" x14ac:dyDescent="0.25">
      <c r="B21" s="17"/>
      <c r="C21" s="258" t="s">
        <v>15</v>
      </c>
      <c r="D21" s="259"/>
      <c r="E21" s="260"/>
      <c r="F21" s="260"/>
      <c r="G21" s="261"/>
      <c r="H21" s="261">
        <f>SUM(H18:H20)</f>
        <v>38714.547268669783</v>
      </c>
      <c r="I21" s="17"/>
      <c r="J21" s="17"/>
    </row>
    <row r="22" spans="2:10" ht="16" thickBot="1" x14ac:dyDescent="0.25">
      <c r="B22" s="17"/>
      <c r="C22" s="17"/>
      <c r="D22" s="17"/>
      <c r="E22" s="17"/>
      <c r="F22" s="17"/>
      <c r="G22" s="17"/>
      <c r="H22" s="17"/>
      <c r="I22" s="17"/>
      <c r="J22" s="17"/>
    </row>
    <row r="23" spans="2:10" ht="16" thickBot="1" x14ac:dyDescent="0.25">
      <c r="B23" s="17"/>
      <c r="C23" s="459" t="s">
        <v>172</v>
      </c>
      <c r="D23" s="460"/>
      <c r="E23" s="460"/>
      <c r="F23" s="460"/>
      <c r="G23" s="460"/>
      <c r="H23" s="461"/>
      <c r="I23" s="17"/>
      <c r="J23" s="17"/>
    </row>
    <row r="24" spans="2:10" x14ac:dyDescent="0.2">
      <c r="B24" s="17"/>
      <c r="C24" s="244"/>
      <c r="D24" s="262" t="s">
        <v>158</v>
      </c>
      <c r="E24" s="263" t="s">
        <v>159</v>
      </c>
      <c r="F24" s="264" t="s">
        <v>160</v>
      </c>
      <c r="G24" s="242" t="s">
        <v>161</v>
      </c>
      <c r="H24" s="243" t="s">
        <v>162</v>
      </c>
      <c r="I24" s="17"/>
      <c r="J24" s="17"/>
    </row>
    <row r="25" spans="2:10" ht="17" x14ac:dyDescent="0.25">
      <c r="B25" s="17"/>
      <c r="C25" s="244"/>
      <c r="D25" s="245"/>
      <c r="E25" s="246"/>
      <c r="F25" s="264"/>
      <c r="G25" s="265" t="s">
        <v>163</v>
      </c>
      <c r="H25" s="248" t="s">
        <v>164</v>
      </c>
      <c r="I25" s="17"/>
      <c r="J25" s="17"/>
    </row>
    <row r="26" spans="2:10" x14ac:dyDescent="0.2">
      <c r="B26" s="17"/>
      <c r="C26" s="266"/>
      <c r="D26" s="250" t="s">
        <v>166</v>
      </c>
      <c r="E26" s="251" t="s">
        <v>166</v>
      </c>
      <c r="F26" s="268" t="s">
        <v>167</v>
      </c>
      <c r="G26" s="267" t="s">
        <v>52</v>
      </c>
      <c r="H26" s="269" t="s">
        <v>168</v>
      </c>
      <c r="I26" s="17"/>
      <c r="J26" s="17"/>
    </row>
    <row r="27" spans="2:10" ht="16" thickBot="1" x14ac:dyDescent="0.25">
      <c r="B27" s="17"/>
      <c r="C27" s="270" t="s">
        <v>172</v>
      </c>
      <c r="D27" s="271">
        <f>SUM(D18:D20)</f>
        <v>1850</v>
      </c>
      <c r="E27" s="271">
        <f>SQRT(SUMPRODUCT(E18:E20,E18:E20))</f>
        <v>309.23292192132453</v>
      </c>
      <c r="F27" s="272"/>
      <c r="G27" s="256">
        <f>D27*7+E27*SQRT(7)*$F$11</f>
        <v>13157.276795988902</v>
      </c>
      <c r="H27" s="257">
        <f>($F$9+$F$7)*$F$12*SQRT(7)*E27</f>
        <v>23706.559550003942</v>
      </c>
      <c r="I27" s="17"/>
      <c r="J27" s="17"/>
    </row>
    <row r="28" spans="2:10" ht="16" thickBot="1" x14ac:dyDescent="0.25">
      <c r="B28" s="17"/>
      <c r="C28" s="17"/>
      <c r="D28" s="17"/>
      <c r="E28" s="17"/>
      <c r="F28" s="17"/>
      <c r="G28" s="17"/>
      <c r="H28" s="17"/>
      <c r="I28" s="17"/>
      <c r="J28" s="17"/>
    </row>
    <row r="29" spans="2:10" ht="16" thickBot="1" x14ac:dyDescent="0.25">
      <c r="B29" s="17"/>
      <c r="C29" s="462" t="s">
        <v>173</v>
      </c>
      <c r="D29" s="463"/>
      <c r="E29" s="463"/>
      <c r="F29" s="463"/>
      <c r="G29" s="463"/>
      <c r="H29" s="464"/>
      <c r="I29" s="17"/>
      <c r="J29" s="17"/>
    </row>
    <row r="30" spans="2:10" ht="16" thickBot="1" x14ac:dyDescent="0.25">
      <c r="B30" s="17"/>
      <c r="C30" s="273"/>
      <c r="D30" s="274"/>
      <c r="E30" s="274"/>
      <c r="F30" s="275"/>
      <c r="G30" s="276" t="s">
        <v>174</v>
      </c>
      <c r="H30" s="426">
        <f>H21-H27</f>
        <v>15007.987718665841</v>
      </c>
      <c r="I30" s="17"/>
      <c r="J30" s="17"/>
    </row>
    <row r="31" spans="2:10" x14ac:dyDescent="0.2">
      <c r="B31" s="17"/>
      <c r="C31" s="17"/>
      <c r="D31" s="17"/>
      <c r="E31" s="17"/>
      <c r="F31" s="17"/>
      <c r="G31" s="17"/>
      <c r="H31" s="17"/>
      <c r="I31" s="17"/>
      <c r="J31" s="17"/>
    </row>
    <row r="32" spans="2:10" x14ac:dyDescent="0.2">
      <c r="B32" s="17"/>
      <c r="C32" s="17"/>
      <c r="D32" s="17"/>
      <c r="E32" s="17"/>
      <c r="F32" s="17"/>
      <c r="G32" s="17"/>
      <c r="H32" s="17"/>
      <c r="I32" s="17"/>
      <c r="J32" s="17"/>
    </row>
    <row r="33" spans="9:10" x14ac:dyDescent="0.2">
      <c r="I33" s="17"/>
      <c r="J33" s="17"/>
    </row>
    <row r="34" spans="9:10" x14ac:dyDescent="0.2">
      <c r="I34" s="17"/>
      <c r="J34" s="17"/>
    </row>
  </sheetData>
  <mergeCells count="4">
    <mergeCell ref="C3:G4"/>
    <mergeCell ref="C14:H14"/>
    <mergeCell ref="C23:H23"/>
    <mergeCell ref="C29:H29"/>
  </mergeCells>
  <pageMargins left="0.7" right="0.7" top="0.75" bottom="0.75" header="0.3" footer="0.3"/>
  <pageSetup paperSize="9" orientation="portrait" r:id="rId1"/>
  <picture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71805-02D5-4C9C-BA15-1A84583C9874}">
  <sheetPr codeName="Sheet27"/>
  <dimension ref="A1:W46"/>
  <sheetViews>
    <sheetView zoomScale="108" zoomScaleNormal="7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37" sqref="R37"/>
    </sheetView>
  </sheetViews>
  <sheetFormatPr baseColWidth="10" defaultColWidth="9" defaultRowHeight="15" x14ac:dyDescent="0.2"/>
  <cols>
    <col min="1" max="1" width="3.33203125" style="348" customWidth="1"/>
    <col min="4" max="4" width="11" customWidth="1"/>
    <col min="5" max="6" width="12.33203125" customWidth="1"/>
    <col min="7" max="7" width="10.6640625" customWidth="1"/>
    <col min="8" max="8" width="14.1640625" customWidth="1"/>
    <col min="9" max="9" width="11.6640625" customWidth="1"/>
    <col min="11" max="11" width="11.6640625" customWidth="1"/>
    <col min="12" max="12" width="14.33203125" customWidth="1"/>
    <col min="13" max="13" width="11.33203125" customWidth="1"/>
    <col min="14" max="14" width="9.33203125" customWidth="1"/>
    <col min="15" max="15" width="11" customWidth="1"/>
    <col min="16" max="16" width="10.33203125" customWidth="1"/>
    <col min="17" max="17" width="11.6640625" customWidth="1"/>
    <col min="18" max="18" width="13.1640625" customWidth="1"/>
    <col min="20" max="20" width="13.83203125" customWidth="1"/>
    <col min="21" max="21" width="16.6640625" customWidth="1"/>
  </cols>
  <sheetData>
    <row r="1" spans="2:23" s="348" customFormat="1" x14ac:dyDescent="0.2"/>
    <row r="2" spans="2:23" x14ac:dyDescent="0.2"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2:23" ht="27.5" customHeight="1" x14ac:dyDescent="0.2">
      <c r="B3" s="17"/>
      <c r="C3" s="280"/>
      <c r="D3" s="280"/>
      <c r="E3" s="280"/>
      <c r="F3" s="280"/>
      <c r="G3" s="278"/>
      <c r="H3" s="280"/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77"/>
      <c r="T3" s="277"/>
      <c r="U3" s="277"/>
      <c r="V3" s="277"/>
      <c r="W3" s="281"/>
    </row>
    <row r="4" spans="2:23" ht="6.5" customHeight="1" thickBot="1" x14ac:dyDescent="0.25">
      <c r="B4" s="17"/>
      <c r="C4" s="280"/>
      <c r="D4" s="280"/>
      <c r="E4" s="280"/>
      <c r="F4" s="280"/>
      <c r="G4" s="278"/>
      <c r="H4" s="280"/>
      <c r="I4" s="280"/>
      <c r="J4" s="280"/>
      <c r="K4" s="280"/>
      <c r="L4" s="280"/>
      <c r="M4" s="280"/>
      <c r="N4" s="278"/>
      <c r="O4" s="280"/>
      <c r="P4" s="280"/>
      <c r="Q4" s="280"/>
      <c r="R4" s="280"/>
      <c r="S4" s="277"/>
      <c r="T4" s="277"/>
      <c r="U4" s="277"/>
      <c r="V4" s="277"/>
      <c r="W4" s="281"/>
    </row>
    <row r="5" spans="2:23" ht="32" thickBot="1" x14ac:dyDescent="0.25">
      <c r="B5" s="17"/>
      <c r="C5" s="288" t="s">
        <v>175</v>
      </c>
      <c r="D5" s="289" t="s">
        <v>176</v>
      </c>
      <c r="E5" s="289" t="s">
        <v>177</v>
      </c>
      <c r="F5" s="289" t="s">
        <v>178</v>
      </c>
      <c r="G5" s="289" t="s">
        <v>30</v>
      </c>
      <c r="H5" s="289" t="s">
        <v>179</v>
      </c>
      <c r="I5" s="289" t="s">
        <v>180</v>
      </c>
      <c r="J5" s="289" t="s">
        <v>181</v>
      </c>
      <c r="K5" s="289" t="s">
        <v>182</v>
      </c>
      <c r="L5" s="289" t="s">
        <v>183</v>
      </c>
      <c r="M5" s="289" t="s">
        <v>184</v>
      </c>
      <c r="N5" s="289" t="s">
        <v>66</v>
      </c>
      <c r="O5" s="289" t="s">
        <v>185</v>
      </c>
      <c r="P5" s="288" t="s">
        <v>186</v>
      </c>
      <c r="Q5" s="289" t="s">
        <v>187</v>
      </c>
      <c r="R5" s="290" t="s">
        <v>188</v>
      </c>
      <c r="S5" s="277"/>
      <c r="T5" s="465"/>
      <c r="U5" s="465"/>
      <c r="V5" s="282"/>
      <c r="W5" s="279"/>
    </row>
    <row r="6" spans="2:23" ht="17" thickBot="1" x14ac:dyDescent="0.25">
      <c r="B6" s="17"/>
      <c r="C6" s="291">
        <v>1</v>
      </c>
      <c r="D6" s="278">
        <v>100</v>
      </c>
      <c r="E6" s="278">
        <v>0</v>
      </c>
      <c r="F6" s="278">
        <f>D6+E6</f>
        <v>100</v>
      </c>
      <c r="G6" s="278">
        <v>10</v>
      </c>
      <c r="H6" s="292">
        <f>MIN(F6:G6)</f>
        <v>10</v>
      </c>
      <c r="I6" s="292">
        <f>G6-H6</f>
        <v>0</v>
      </c>
      <c r="J6" s="278">
        <f>F6-H6</f>
        <v>90</v>
      </c>
      <c r="K6" s="292">
        <v>0</v>
      </c>
      <c r="L6" s="278">
        <f>J6+K6</f>
        <v>90</v>
      </c>
      <c r="M6" s="292">
        <f>IF(L6&gt;$V$15,0,1)</f>
        <v>0</v>
      </c>
      <c r="N6" s="278">
        <f>IF(M6=0,0,2)</f>
        <v>0</v>
      </c>
      <c r="O6" s="293">
        <f>IF(M6=1,C6+N6+1,0)</f>
        <v>0</v>
      </c>
      <c r="P6" s="285">
        <f>J6*$V$20</f>
        <v>45</v>
      </c>
      <c r="Q6" s="286">
        <f>I6*$V$23</f>
        <v>0</v>
      </c>
      <c r="R6" s="287">
        <f>M6*$V$26</f>
        <v>0</v>
      </c>
      <c r="S6" s="277"/>
      <c r="T6" s="288" t="s">
        <v>30</v>
      </c>
      <c r="U6" s="289" t="s">
        <v>189</v>
      </c>
      <c r="V6" s="290" t="s">
        <v>190</v>
      </c>
      <c r="W6" s="279"/>
    </row>
    <row r="7" spans="2:23" x14ac:dyDescent="0.2">
      <c r="B7" s="17"/>
      <c r="C7" s="291">
        <v>2</v>
      </c>
      <c r="D7" s="278">
        <f>J6</f>
        <v>90</v>
      </c>
      <c r="E7" s="278">
        <f>COUNTIF($O$6:O6,C7)*$V$14</f>
        <v>0</v>
      </c>
      <c r="F7" s="278">
        <f>D7+E7</f>
        <v>90</v>
      </c>
      <c r="G7" s="278">
        <v>10</v>
      </c>
      <c r="H7" s="292">
        <f t="shared" ref="H7:H35" si="0">MIN(F7:G7)</f>
        <v>10</v>
      </c>
      <c r="I7" s="292">
        <f t="shared" ref="I7:I35" si="1">G7-H7</f>
        <v>0</v>
      </c>
      <c r="J7" s="278">
        <f>F7-H7</f>
        <v>80</v>
      </c>
      <c r="K7" s="292">
        <f>COUNTIF($O$6:O6,"&gt;"&amp;C7)*$V$14</f>
        <v>0</v>
      </c>
      <c r="L7" s="278">
        <f t="shared" ref="L7:L35" si="2">J7+K7</f>
        <v>80</v>
      </c>
      <c r="M7" s="292">
        <f t="shared" ref="M7:M35" si="3">IF(L7&gt;$V$15,0,1)</f>
        <v>0</v>
      </c>
      <c r="N7" s="278">
        <f t="shared" ref="N7:N11" si="4">IF(M7=0,0,2)</f>
        <v>0</v>
      </c>
      <c r="O7" s="293">
        <f>IF(M7=1,C7+N7+1,0)</f>
        <v>0</v>
      </c>
      <c r="P7" s="285">
        <f t="shared" ref="P7:P35" si="5">J7*$V$20</f>
        <v>40</v>
      </c>
      <c r="Q7" s="286">
        <f t="shared" ref="Q7:Q35" si="6">I7*$V$23</f>
        <v>0</v>
      </c>
      <c r="R7" s="287">
        <f t="shared" ref="R7:R35" si="7">M7*$V$26</f>
        <v>0</v>
      </c>
      <c r="S7" s="277"/>
      <c r="T7" s="283">
        <v>0</v>
      </c>
      <c r="U7" s="294">
        <v>0.05</v>
      </c>
      <c r="V7" s="295">
        <v>0</v>
      </c>
      <c r="W7" s="279"/>
    </row>
    <row r="8" spans="2:23" x14ac:dyDescent="0.2">
      <c r="B8" s="17"/>
      <c r="C8" s="291">
        <v>3</v>
      </c>
      <c r="D8" s="278">
        <f>J7</f>
        <v>80</v>
      </c>
      <c r="E8" s="278">
        <f>COUNTIF($O$6:O7,C8)*$V$14</f>
        <v>0</v>
      </c>
      <c r="F8" s="278">
        <f t="shared" ref="F8:F35" si="8">D8+E8</f>
        <v>80</v>
      </c>
      <c r="G8" s="278">
        <v>40</v>
      </c>
      <c r="H8" s="292">
        <f t="shared" si="0"/>
        <v>40</v>
      </c>
      <c r="I8" s="292">
        <f t="shared" si="1"/>
        <v>0</v>
      </c>
      <c r="J8" s="278">
        <f>F8-H8</f>
        <v>40</v>
      </c>
      <c r="K8" s="292">
        <f>COUNTIF($O$6:O7,"&gt;"&amp;C8)*$V$14</f>
        <v>0</v>
      </c>
      <c r="L8" s="278">
        <f t="shared" si="2"/>
        <v>40</v>
      </c>
      <c r="M8" s="292">
        <f t="shared" si="3"/>
        <v>0</v>
      </c>
      <c r="N8" s="278">
        <f t="shared" si="4"/>
        <v>0</v>
      </c>
      <c r="O8" s="293">
        <f t="shared" ref="O8:O35" si="9">IF(M8=1,C8+N8+1,0)</f>
        <v>0</v>
      </c>
      <c r="P8" s="285">
        <f t="shared" si="5"/>
        <v>20</v>
      </c>
      <c r="Q8" s="286">
        <f t="shared" si="6"/>
        <v>0</v>
      </c>
      <c r="R8" s="287">
        <f t="shared" si="7"/>
        <v>0</v>
      </c>
      <c r="S8" s="277"/>
      <c r="T8" s="291">
        <v>10</v>
      </c>
      <c r="U8" s="296">
        <v>0.2</v>
      </c>
      <c r="V8" s="297">
        <f>U7</f>
        <v>0.05</v>
      </c>
      <c r="W8" s="279"/>
    </row>
    <row r="9" spans="2:23" x14ac:dyDescent="0.2">
      <c r="B9" s="17"/>
      <c r="C9" s="291">
        <v>4</v>
      </c>
      <c r="D9" s="278">
        <f>J8</f>
        <v>40</v>
      </c>
      <c r="E9" s="278">
        <f>COUNTIF($O$6:O8,C9)*$V$14</f>
        <v>0</v>
      </c>
      <c r="F9" s="278">
        <f t="shared" si="8"/>
        <v>40</v>
      </c>
      <c r="G9" s="278">
        <v>30</v>
      </c>
      <c r="H9" s="292">
        <f t="shared" si="0"/>
        <v>30</v>
      </c>
      <c r="I9" s="292">
        <f t="shared" si="1"/>
        <v>0</v>
      </c>
      <c r="J9" s="278">
        <f>F9-H9</f>
        <v>10</v>
      </c>
      <c r="K9" s="292">
        <f>COUNTIF($O$6:O8,"&gt;"&amp;C9)*$V$14</f>
        <v>0</v>
      </c>
      <c r="L9" s="278">
        <f t="shared" si="2"/>
        <v>10</v>
      </c>
      <c r="M9" s="292">
        <f t="shared" si="3"/>
        <v>1</v>
      </c>
      <c r="N9" s="278">
        <f t="shared" si="4"/>
        <v>2</v>
      </c>
      <c r="O9" s="293">
        <f>IF(M9=1,C9+N9+1,0)</f>
        <v>7</v>
      </c>
      <c r="P9" s="285">
        <f t="shared" si="5"/>
        <v>5</v>
      </c>
      <c r="Q9" s="286">
        <f t="shared" si="6"/>
        <v>0</v>
      </c>
      <c r="R9" s="287">
        <f t="shared" si="7"/>
        <v>20</v>
      </c>
      <c r="S9" s="277"/>
      <c r="T9" s="291">
        <v>20</v>
      </c>
      <c r="U9" s="296">
        <v>0.25</v>
      </c>
      <c r="V9" s="297">
        <f>U8+V8</f>
        <v>0.25</v>
      </c>
      <c r="W9" s="279"/>
    </row>
    <row r="10" spans="2:23" x14ac:dyDescent="0.2">
      <c r="B10" s="17"/>
      <c r="C10" s="291">
        <v>5</v>
      </c>
      <c r="D10" s="278">
        <f t="shared" ref="D10:D35" si="10">J9</f>
        <v>10</v>
      </c>
      <c r="E10" s="278">
        <f>COUNTIF($O$6:O9,C10)*$V$14</f>
        <v>0</v>
      </c>
      <c r="F10" s="278">
        <f t="shared" si="8"/>
        <v>10</v>
      </c>
      <c r="G10" s="278">
        <v>20</v>
      </c>
      <c r="H10" s="292">
        <f t="shared" si="0"/>
        <v>10</v>
      </c>
      <c r="I10" s="292">
        <f t="shared" si="1"/>
        <v>10</v>
      </c>
      <c r="J10" s="278">
        <f t="shared" ref="J10:J35" si="11">F10-H10</f>
        <v>0</v>
      </c>
      <c r="K10" s="292">
        <f>COUNTIF($O$6:O9,"&gt;"&amp;C10)*$V$14</f>
        <v>45</v>
      </c>
      <c r="L10" s="278">
        <f t="shared" si="2"/>
        <v>45</v>
      </c>
      <c r="M10" s="292">
        <f t="shared" si="3"/>
        <v>0</v>
      </c>
      <c r="N10" s="278">
        <f t="shared" si="4"/>
        <v>0</v>
      </c>
      <c r="O10" s="293">
        <f t="shared" si="9"/>
        <v>0</v>
      </c>
      <c r="P10" s="285">
        <f t="shared" si="5"/>
        <v>0</v>
      </c>
      <c r="Q10" s="286">
        <f t="shared" si="6"/>
        <v>100</v>
      </c>
      <c r="R10" s="287">
        <f t="shared" si="7"/>
        <v>0</v>
      </c>
      <c r="S10" s="277"/>
      <c r="T10" s="291">
        <v>30</v>
      </c>
      <c r="U10" s="296">
        <v>0.25</v>
      </c>
      <c r="V10" s="297">
        <f>U9+V9</f>
        <v>0.5</v>
      </c>
      <c r="W10" s="279"/>
    </row>
    <row r="11" spans="2:23" x14ac:dyDescent="0.2">
      <c r="B11" s="17"/>
      <c r="C11" s="291">
        <v>6</v>
      </c>
      <c r="D11" s="278">
        <f t="shared" si="10"/>
        <v>0</v>
      </c>
      <c r="E11" s="278">
        <f>COUNTIF($O$6:O10,C11)*$V$14</f>
        <v>0</v>
      </c>
      <c r="F11" s="278">
        <f t="shared" si="8"/>
        <v>0</v>
      </c>
      <c r="G11" s="278">
        <v>30</v>
      </c>
      <c r="H11" s="292">
        <f t="shared" si="0"/>
        <v>0</v>
      </c>
      <c r="I11" s="292">
        <f t="shared" si="1"/>
        <v>30</v>
      </c>
      <c r="J11" s="278">
        <f t="shared" si="11"/>
        <v>0</v>
      </c>
      <c r="K11" s="292">
        <f>COUNTIF($O$6:O10,"&gt;"&amp;C11)*$V$14</f>
        <v>45</v>
      </c>
      <c r="L11" s="278">
        <f t="shared" si="2"/>
        <v>45</v>
      </c>
      <c r="M11" s="292">
        <f t="shared" si="3"/>
        <v>0</v>
      </c>
      <c r="N11" s="278">
        <f t="shared" si="4"/>
        <v>0</v>
      </c>
      <c r="O11" s="293">
        <f t="shared" si="9"/>
        <v>0</v>
      </c>
      <c r="P11" s="285">
        <f t="shared" si="5"/>
        <v>0</v>
      </c>
      <c r="Q11" s="286">
        <f t="shared" si="6"/>
        <v>300</v>
      </c>
      <c r="R11" s="287">
        <f t="shared" si="7"/>
        <v>0</v>
      </c>
      <c r="S11" s="277"/>
      <c r="T11" s="291">
        <v>40</v>
      </c>
      <c r="U11" s="296">
        <v>0.2</v>
      </c>
      <c r="V11" s="297">
        <f>U10+V10</f>
        <v>0.75</v>
      </c>
      <c r="W11" s="279"/>
    </row>
    <row r="12" spans="2:23" ht="16" thickBot="1" x14ac:dyDescent="0.25">
      <c r="B12" s="17"/>
      <c r="C12" s="291">
        <v>7</v>
      </c>
      <c r="D12" s="278">
        <f t="shared" si="10"/>
        <v>0</v>
      </c>
      <c r="E12" s="278">
        <f>COUNTIF($O$6:O11,C12)*$V$14</f>
        <v>45</v>
      </c>
      <c r="F12" s="278">
        <f t="shared" si="8"/>
        <v>45</v>
      </c>
      <c r="G12" s="278">
        <v>40</v>
      </c>
      <c r="H12" s="292">
        <f t="shared" si="0"/>
        <v>40</v>
      </c>
      <c r="I12" s="292">
        <f t="shared" si="1"/>
        <v>0</v>
      </c>
      <c r="J12" s="278">
        <f t="shared" si="11"/>
        <v>5</v>
      </c>
      <c r="K12" s="292">
        <f>COUNTIF($O$6:O11,"&gt;"&amp;C12)*$V$14</f>
        <v>0</v>
      </c>
      <c r="L12" s="278">
        <f t="shared" si="2"/>
        <v>5</v>
      </c>
      <c r="M12" s="292">
        <f t="shared" si="3"/>
        <v>1</v>
      </c>
      <c r="N12" s="278">
        <f>IF(M12=0,0,1)</f>
        <v>1</v>
      </c>
      <c r="O12" s="293">
        <f t="shared" si="9"/>
        <v>9</v>
      </c>
      <c r="P12" s="285">
        <f t="shared" si="5"/>
        <v>2.5</v>
      </c>
      <c r="Q12" s="286">
        <f t="shared" si="6"/>
        <v>0</v>
      </c>
      <c r="R12" s="287">
        <f t="shared" si="7"/>
        <v>20</v>
      </c>
      <c r="S12" s="277"/>
      <c r="T12" s="298">
        <v>50</v>
      </c>
      <c r="U12" s="299">
        <v>0.05</v>
      </c>
      <c r="V12" s="300">
        <f>U11+V11</f>
        <v>0.95</v>
      </c>
      <c r="W12" s="279"/>
    </row>
    <row r="13" spans="2:23" ht="16" thickBot="1" x14ac:dyDescent="0.25">
      <c r="B13" s="17"/>
      <c r="C13" s="291">
        <v>8</v>
      </c>
      <c r="D13" s="278">
        <f t="shared" si="10"/>
        <v>5</v>
      </c>
      <c r="E13" s="278">
        <f>COUNTIF($O$6:O12,C13)*$V$14</f>
        <v>0</v>
      </c>
      <c r="F13" s="278">
        <f t="shared" si="8"/>
        <v>5</v>
      </c>
      <c r="G13" s="278">
        <v>20</v>
      </c>
      <c r="H13" s="292">
        <f t="shared" si="0"/>
        <v>5</v>
      </c>
      <c r="I13" s="292">
        <f t="shared" si="1"/>
        <v>15</v>
      </c>
      <c r="J13" s="278">
        <f t="shared" si="11"/>
        <v>0</v>
      </c>
      <c r="K13" s="292">
        <f>COUNTIF($O$6:O12,"&gt;"&amp;C13)*$V$14</f>
        <v>45</v>
      </c>
      <c r="L13" s="278">
        <f>J13+K13</f>
        <v>45</v>
      </c>
      <c r="M13" s="292">
        <f t="shared" si="3"/>
        <v>0</v>
      </c>
      <c r="N13" s="278">
        <f t="shared" ref="N13:N16" si="12">IF(M13=0,0,1)</f>
        <v>0</v>
      </c>
      <c r="O13" s="293">
        <f t="shared" si="9"/>
        <v>0</v>
      </c>
      <c r="P13" s="285">
        <f t="shared" si="5"/>
        <v>0</v>
      </c>
      <c r="Q13" s="286">
        <f t="shared" si="6"/>
        <v>150</v>
      </c>
      <c r="R13" s="287">
        <f t="shared" si="7"/>
        <v>0</v>
      </c>
      <c r="S13" s="277"/>
      <c r="T13" s="277"/>
      <c r="U13" s="277"/>
      <c r="V13" s="277"/>
      <c r="W13" s="281"/>
    </row>
    <row r="14" spans="2:23" x14ac:dyDescent="0.2">
      <c r="B14" s="17"/>
      <c r="C14" s="291">
        <v>9</v>
      </c>
      <c r="D14" s="278">
        <f t="shared" si="10"/>
        <v>0</v>
      </c>
      <c r="E14" s="278">
        <f>COUNTIF($O$6:O13,C14)*$V$14</f>
        <v>45</v>
      </c>
      <c r="F14" s="278">
        <f t="shared" si="8"/>
        <v>45</v>
      </c>
      <c r="G14" s="278">
        <v>50</v>
      </c>
      <c r="H14" s="292">
        <f t="shared" si="0"/>
        <v>45</v>
      </c>
      <c r="I14" s="292">
        <f t="shared" si="1"/>
        <v>5</v>
      </c>
      <c r="J14" s="278">
        <f t="shared" si="11"/>
        <v>0</v>
      </c>
      <c r="K14" s="292">
        <f>COUNTIF($O$6:O13,"&gt;"&amp;C14)*$V$14</f>
        <v>0</v>
      </c>
      <c r="L14" s="278">
        <f>J14+K14</f>
        <v>0</v>
      </c>
      <c r="M14" s="292">
        <f t="shared" si="3"/>
        <v>1</v>
      </c>
      <c r="N14" s="278">
        <f t="shared" si="12"/>
        <v>1</v>
      </c>
      <c r="O14" s="293">
        <f t="shared" si="9"/>
        <v>11</v>
      </c>
      <c r="P14" s="285">
        <f t="shared" si="5"/>
        <v>0</v>
      </c>
      <c r="Q14" s="286">
        <f t="shared" si="6"/>
        <v>50</v>
      </c>
      <c r="R14" s="287">
        <f t="shared" si="7"/>
        <v>20</v>
      </c>
      <c r="S14" s="277"/>
      <c r="T14" s="301" t="s">
        <v>191</v>
      </c>
      <c r="U14" s="302"/>
      <c r="V14" s="284">
        <v>45</v>
      </c>
      <c r="W14" s="281"/>
    </row>
    <row r="15" spans="2:23" ht="16" thickBot="1" x14ac:dyDescent="0.25">
      <c r="B15" s="17"/>
      <c r="C15" s="291">
        <v>10</v>
      </c>
      <c r="D15" s="278">
        <f t="shared" si="10"/>
        <v>0</v>
      </c>
      <c r="E15" s="278">
        <f>COUNTIF($O$6:O14,C15)*$V$14</f>
        <v>0</v>
      </c>
      <c r="F15" s="278">
        <f t="shared" si="8"/>
        <v>0</v>
      </c>
      <c r="G15" s="278">
        <v>10</v>
      </c>
      <c r="H15" s="292">
        <f t="shared" si="0"/>
        <v>0</v>
      </c>
      <c r="I15" s="292">
        <f t="shared" si="1"/>
        <v>10</v>
      </c>
      <c r="J15" s="278">
        <f t="shared" si="11"/>
        <v>0</v>
      </c>
      <c r="K15" s="292">
        <f>COUNTIF($O$6:O14,"&gt;"&amp;C15)*$V$14</f>
        <v>45</v>
      </c>
      <c r="L15" s="278">
        <f t="shared" si="2"/>
        <v>45</v>
      </c>
      <c r="M15" s="292">
        <f t="shared" si="3"/>
        <v>0</v>
      </c>
      <c r="N15" s="278">
        <f t="shared" si="12"/>
        <v>0</v>
      </c>
      <c r="O15" s="293">
        <f t="shared" si="9"/>
        <v>0</v>
      </c>
      <c r="P15" s="285">
        <f t="shared" si="5"/>
        <v>0</v>
      </c>
      <c r="Q15" s="286">
        <f t="shared" si="6"/>
        <v>100</v>
      </c>
      <c r="R15" s="287">
        <f t="shared" si="7"/>
        <v>0</v>
      </c>
      <c r="S15" s="277"/>
      <c r="T15" s="303" t="s">
        <v>192</v>
      </c>
      <c r="U15" s="304"/>
      <c r="V15" s="305">
        <v>20</v>
      </c>
      <c r="W15" s="279"/>
    </row>
    <row r="16" spans="2:23" ht="16" thickBot="1" x14ac:dyDescent="0.25">
      <c r="B16" s="17"/>
      <c r="C16" s="291">
        <v>11</v>
      </c>
      <c r="D16" s="278">
        <f t="shared" si="10"/>
        <v>0</v>
      </c>
      <c r="E16" s="278">
        <f>COUNTIF($O$6:O15,C16)*$V$14</f>
        <v>45</v>
      </c>
      <c r="F16" s="278">
        <f t="shared" si="8"/>
        <v>45</v>
      </c>
      <c r="G16" s="278">
        <v>30</v>
      </c>
      <c r="H16" s="292">
        <f t="shared" si="0"/>
        <v>30</v>
      </c>
      <c r="I16" s="292">
        <f t="shared" si="1"/>
        <v>0</v>
      </c>
      <c r="J16" s="278">
        <f t="shared" si="11"/>
        <v>15</v>
      </c>
      <c r="K16" s="292">
        <f>COUNTIF($O$6:O15,"&gt;"&amp;C16)*$V$14</f>
        <v>0</v>
      </c>
      <c r="L16" s="278">
        <f t="shared" si="2"/>
        <v>15</v>
      </c>
      <c r="M16" s="292">
        <f t="shared" si="3"/>
        <v>1</v>
      </c>
      <c r="N16" s="278">
        <f t="shared" si="12"/>
        <v>1</v>
      </c>
      <c r="O16" s="293">
        <f t="shared" si="9"/>
        <v>13</v>
      </c>
      <c r="P16" s="285">
        <f t="shared" si="5"/>
        <v>7.5</v>
      </c>
      <c r="Q16" s="286">
        <f t="shared" si="6"/>
        <v>0</v>
      </c>
      <c r="R16" s="287">
        <f t="shared" si="7"/>
        <v>20</v>
      </c>
      <c r="S16" s="277"/>
      <c r="T16" s="277"/>
      <c r="U16" s="277"/>
      <c r="V16" s="277"/>
      <c r="W16" s="281"/>
    </row>
    <row r="17" spans="2:23" x14ac:dyDescent="0.2">
      <c r="B17" s="17"/>
      <c r="C17" s="291">
        <v>12</v>
      </c>
      <c r="D17" s="278">
        <f t="shared" si="10"/>
        <v>15</v>
      </c>
      <c r="E17" s="278">
        <f>COUNTIF($O$6:O16,C17)*$V$14</f>
        <v>0</v>
      </c>
      <c r="F17" s="278">
        <f t="shared" si="8"/>
        <v>15</v>
      </c>
      <c r="G17" s="278">
        <v>30</v>
      </c>
      <c r="H17" s="292">
        <f t="shared" si="0"/>
        <v>15</v>
      </c>
      <c r="I17" s="292">
        <f t="shared" si="1"/>
        <v>15</v>
      </c>
      <c r="J17" s="278">
        <f t="shared" si="11"/>
        <v>0</v>
      </c>
      <c r="K17" s="292">
        <f>COUNTIF($O$6:O16,"&gt;"&amp;C17)*$V$14</f>
        <v>45</v>
      </c>
      <c r="L17" s="278">
        <f t="shared" si="2"/>
        <v>45</v>
      </c>
      <c r="M17" s="292">
        <f t="shared" si="3"/>
        <v>0</v>
      </c>
      <c r="N17" s="278">
        <f>IF(M17=0,0,3)</f>
        <v>0</v>
      </c>
      <c r="O17" s="293">
        <f t="shared" si="9"/>
        <v>0</v>
      </c>
      <c r="P17" s="285">
        <f t="shared" si="5"/>
        <v>0</v>
      </c>
      <c r="Q17" s="286">
        <f t="shared" si="6"/>
        <v>150</v>
      </c>
      <c r="R17" s="287">
        <f t="shared" si="7"/>
        <v>0</v>
      </c>
      <c r="S17" s="277"/>
      <c r="T17" s="306" t="s">
        <v>193</v>
      </c>
      <c r="U17" s="307"/>
      <c r="V17" s="284">
        <v>1</v>
      </c>
      <c r="W17" s="281"/>
    </row>
    <row r="18" spans="2:23" ht="16" thickBot="1" x14ac:dyDescent="0.25">
      <c r="B18" s="17"/>
      <c r="C18" s="291">
        <v>13</v>
      </c>
      <c r="D18" s="278">
        <f t="shared" si="10"/>
        <v>0</v>
      </c>
      <c r="E18" s="278">
        <f>COUNTIF($O$6:O17,C18)*$V$14</f>
        <v>45</v>
      </c>
      <c r="F18" s="278">
        <f t="shared" si="8"/>
        <v>45</v>
      </c>
      <c r="G18" s="278">
        <v>50</v>
      </c>
      <c r="H18" s="292">
        <f t="shared" si="0"/>
        <v>45</v>
      </c>
      <c r="I18" s="292">
        <f t="shared" si="1"/>
        <v>5</v>
      </c>
      <c r="J18" s="278">
        <f t="shared" si="11"/>
        <v>0</v>
      </c>
      <c r="K18" s="292">
        <f>COUNTIF($O$6:O17,"&gt;"&amp;C18)*$V$14</f>
        <v>0</v>
      </c>
      <c r="L18" s="278">
        <f t="shared" si="2"/>
        <v>0</v>
      </c>
      <c r="M18" s="292">
        <f t="shared" si="3"/>
        <v>1</v>
      </c>
      <c r="N18" s="278">
        <f t="shared" ref="N18:N22" si="13">IF(M18=0,0,3)</f>
        <v>3</v>
      </c>
      <c r="O18" s="293">
        <f t="shared" si="9"/>
        <v>17</v>
      </c>
      <c r="P18" s="285">
        <f t="shared" si="5"/>
        <v>0</v>
      </c>
      <c r="Q18" s="286">
        <f t="shared" si="6"/>
        <v>50</v>
      </c>
      <c r="R18" s="287">
        <f t="shared" si="7"/>
        <v>20</v>
      </c>
      <c r="S18" s="277"/>
      <c r="T18" s="308" t="s">
        <v>194</v>
      </c>
      <c r="U18" s="282"/>
      <c r="V18" s="305">
        <v>3</v>
      </c>
      <c r="W18" s="281"/>
    </row>
    <row r="19" spans="2:23" ht="16" thickBot="1" x14ac:dyDescent="0.25">
      <c r="B19" s="17"/>
      <c r="C19" s="291">
        <v>14</v>
      </c>
      <c r="D19" s="278">
        <f t="shared" si="10"/>
        <v>0</v>
      </c>
      <c r="E19" s="278">
        <f>COUNTIF($O$6:O18,C19)*$V$14</f>
        <v>0</v>
      </c>
      <c r="F19" s="278">
        <f t="shared" si="8"/>
        <v>0</v>
      </c>
      <c r="G19" s="278">
        <v>10</v>
      </c>
      <c r="H19" s="292">
        <f t="shared" si="0"/>
        <v>0</v>
      </c>
      <c r="I19" s="292">
        <f t="shared" si="1"/>
        <v>10</v>
      </c>
      <c r="J19" s="278">
        <f t="shared" si="11"/>
        <v>0</v>
      </c>
      <c r="K19" s="292">
        <f>COUNTIF($O$6:O18,"&gt;"&amp;C19)*$V$14</f>
        <v>45</v>
      </c>
      <c r="L19" s="278">
        <f t="shared" si="2"/>
        <v>45</v>
      </c>
      <c r="M19" s="292">
        <f t="shared" si="3"/>
        <v>0</v>
      </c>
      <c r="N19" s="278">
        <f t="shared" si="13"/>
        <v>0</v>
      </c>
      <c r="O19" s="293">
        <f>IF(M19=1,C19+N19+1,0)</f>
        <v>0</v>
      </c>
      <c r="P19" s="285">
        <f t="shared" si="5"/>
        <v>0</v>
      </c>
      <c r="Q19" s="286">
        <f t="shared" si="6"/>
        <v>100</v>
      </c>
      <c r="R19" s="287">
        <f t="shared" si="7"/>
        <v>0</v>
      </c>
      <c r="S19" s="277"/>
      <c r="T19" s="277"/>
      <c r="U19" s="277"/>
      <c r="V19" s="278"/>
      <c r="W19" s="309"/>
    </row>
    <row r="20" spans="2:23" x14ac:dyDescent="0.2">
      <c r="B20" s="17"/>
      <c r="C20" s="291">
        <v>15</v>
      </c>
      <c r="D20" s="278">
        <f t="shared" si="10"/>
        <v>0</v>
      </c>
      <c r="E20" s="278">
        <f>COUNTIF($O$6:O19,C20)*$V$14</f>
        <v>0</v>
      </c>
      <c r="F20" s="278">
        <f t="shared" si="8"/>
        <v>0</v>
      </c>
      <c r="G20" s="278">
        <v>10</v>
      </c>
      <c r="H20" s="292">
        <f t="shared" si="0"/>
        <v>0</v>
      </c>
      <c r="I20" s="292">
        <f t="shared" si="1"/>
        <v>10</v>
      </c>
      <c r="J20" s="278">
        <f t="shared" si="11"/>
        <v>0</v>
      </c>
      <c r="K20" s="292">
        <f>COUNTIF($O$6:O19,"&gt;"&amp;C20)*$V$14</f>
        <v>45</v>
      </c>
      <c r="L20" s="278">
        <f t="shared" si="2"/>
        <v>45</v>
      </c>
      <c r="M20" s="292">
        <f t="shared" si="3"/>
        <v>0</v>
      </c>
      <c r="N20" s="278">
        <f t="shared" si="13"/>
        <v>0</v>
      </c>
      <c r="O20" s="293">
        <f t="shared" si="9"/>
        <v>0</v>
      </c>
      <c r="P20" s="285">
        <f t="shared" si="5"/>
        <v>0</v>
      </c>
      <c r="Q20" s="286">
        <f t="shared" si="6"/>
        <v>100</v>
      </c>
      <c r="R20" s="287">
        <f t="shared" si="7"/>
        <v>0</v>
      </c>
      <c r="S20" s="277"/>
      <c r="T20" s="306" t="s">
        <v>186</v>
      </c>
      <c r="U20" s="307"/>
      <c r="V20" s="310">
        <v>0.5</v>
      </c>
      <c r="W20" s="281"/>
    </row>
    <row r="21" spans="2:23" ht="16" thickBot="1" x14ac:dyDescent="0.25">
      <c r="B21" s="17"/>
      <c r="C21" s="291">
        <v>16</v>
      </c>
      <c r="D21" s="278">
        <f t="shared" si="10"/>
        <v>0</v>
      </c>
      <c r="E21" s="278">
        <f>COUNTIF($O$6:O20,C21)*$V$14</f>
        <v>0</v>
      </c>
      <c r="F21" s="278">
        <f t="shared" si="8"/>
        <v>0</v>
      </c>
      <c r="G21" s="278">
        <v>40</v>
      </c>
      <c r="H21" s="292">
        <f t="shared" si="0"/>
        <v>0</v>
      </c>
      <c r="I21" s="292">
        <f t="shared" si="1"/>
        <v>40</v>
      </c>
      <c r="J21" s="278">
        <f t="shared" si="11"/>
        <v>0</v>
      </c>
      <c r="K21" s="292">
        <f>COUNTIF($O$6:O20,"&gt;"&amp;C21)*$V$14</f>
        <v>45</v>
      </c>
      <c r="L21" s="278">
        <f t="shared" si="2"/>
        <v>45</v>
      </c>
      <c r="M21" s="292">
        <f t="shared" si="3"/>
        <v>0</v>
      </c>
      <c r="N21" s="278">
        <f t="shared" si="13"/>
        <v>0</v>
      </c>
      <c r="O21" s="293">
        <f t="shared" si="9"/>
        <v>0</v>
      </c>
      <c r="P21" s="285">
        <f t="shared" si="5"/>
        <v>0</v>
      </c>
      <c r="Q21" s="286">
        <f t="shared" si="6"/>
        <v>400</v>
      </c>
      <c r="R21" s="287">
        <f t="shared" si="7"/>
        <v>0</v>
      </c>
      <c r="S21" s="277"/>
      <c r="T21" s="308" t="s">
        <v>195</v>
      </c>
      <c r="U21" s="282"/>
      <c r="V21" s="305"/>
      <c r="W21" s="281"/>
    </row>
    <row r="22" spans="2:23" ht="16" thickBot="1" x14ac:dyDescent="0.25">
      <c r="B22" s="17"/>
      <c r="C22" s="291">
        <v>17</v>
      </c>
      <c r="D22" s="278">
        <f t="shared" si="10"/>
        <v>0</v>
      </c>
      <c r="E22" s="278">
        <f>COUNTIF($O$6:O21,C22)*$V$14</f>
        <v>45</v>
      </c>
      <c r="F22" s="278">
        <f t="shared" si="8"/>
        <v>45</v>
      </c>
      <c r="G22" s="278">
        <v>10</v>
      </c>
      <c r="H22" s="292">
        <f t="shared" si="0"/>
        <v>10</v>
      </c>
      <c r="I22" s="292">
        <f t="shared" si="1"/>
        <v>0</v>
      </c>
      <c r="J22" s="278">
        <f t="shared" si="11"/>
        <v>35</v>
      </c>
      <c r="K22" s="292">
        <f>COUNTIF($O$6:O21,"&gt;"&amp;C22)*$V$14</f>
        <v>0</v>
      </c>
      <c r="L22" s="278">
        <f t="shared" si="2"/>
        <v>35</v>
      </c>
      <c r="M22" s="292">
        <f t="shared" si="3"/>
        <v>0</v>
      </c>
      <c r="N22" s="278">
        <f t="shared" si="13"/>
        <v>0</v>
      </c>
      <c r="O22" s="293">
        <f t="shared" si="9"/>
        <v>0</v>
      </c>
      <c r="P22" s="285">
        <f t="shared" si="5"/>
        <v>17.5</v>
      </c>
      <c r="Q22" s="286">
        <f t="shared" si="6"/>
        <v>0</v>
      </c>
      <c r="R22" s="287">
        <f t="shared" si="7"/>
        <v>0</v>
      </c>
      <c r="S22" s="277"/>
      <c r="T22" s="277"/>
      <c r="U22" s="277"/>
      <c r="V22" s="278"/>
      <c r="W22" s="311"/>
    </row>
    <row r="23" spans="2:23" x14ac:dyDescent="0.2">
      <c r="B23" s="17"/>
      <c r="C23" s="291">
        <v>18</v>
      </c>
      <c r="D23" s="278">
        <f t="shared" si="10"/>
        <v>35</v>
      </c>
      <c r="E23" s="278">
        <f>COUNTIF($O$6:O22,C23)*$V$14</f>
        <v>0</v>
      </c>
      <c r="F23" s="278">
        <f t="shared" si="8"/>
        <v>35</v>
      </c>
      <c r="G23" s="278">
        <v>0</v>
      </c>
      <c r="H23" s="292">
        <f t="shared" si="0"/>
        <v>0</v>
      </c>
      <c r="I23" s="292">
        <f t="shared" si="1"/>
        <v>0</v>
      </c>
      <c r="J23" s="278">
        <f t="shared" si="11"/>
        <v>35</v>
      </c>
      <c r="K23" s="292">
        <f>COUNTIF($O$6:O22,"&gt;"&amp;C23)*$V$14</f>
        <v>0</v>
      </c>
      <c r="L23" s="278">
        <f t="shared" si="2"/>
        <v>35</v>
      </c>
      <c r="M23" s="292">
        <f t="shared" si="3"/>
        <v>0</v>
      </c>
      <c r="N23" s="278">
        <f>IF(M23=0,0,2)</f>
        <v>0</v>
      </c>
      <c r="O23" s="293">
        <f t="shared" si="9"/>
        <v>0</v>
      </c>
      <c r="P23" s="285">
        <f t="shared" si="5"/>
        <v>17.5</v>
      </c>
      <c r="Q23" s="286">
        <f t="shared" si="6"/>
        <v>0</v>
      </c>
      <c r="R23" s="287">
        <f t="shared" si="7"/>
        <v>0</v>
      </c>
      <c r="S23" s="277"/>
      <c r="T23" s="306" t="s">
        <v>187</v>
      </c>
      <c r="U23" s="307"/>
      <c r="V23" s="312">
        <v>10</v>
      </c>
      <c r="W23" s="281"/>
    </row>
    <row r="24" spans="2:23" ht="16" thickBot="1" x14ac:dyDescent="0.25">
      <c r="B24" s="17"/>
      <c r="C24" s="291">
        <v>19</v>
      </c>
      <c r="D24" s="278">
        <f t="shared" si="10"/>
        <v>35</v>
      </c>
      <c r="E24" s="278">
        <f>COUNTIF($O$6:O23,C24)*$V$14</f>
        <v>0</v>
      </c>
      <c r="F24" s="278">
        <f t="shared" si="8"/>
        <v>35</v>
      </c>
      <c r="G24" s="278">
        <v>50</v>
      </c>
      <c r="H24" s="292">
        <f t="shared" si="0"/>
        <v>35</v>
      </c>
      <c r="I24" s="292">
        <f t="shared" si="1"/>
        <v>15</v>
      </c>
      <c r="J24" s="278">
        <f t="shared" si="11"/>
        <v>0</v>
      </c>
      <c r="K24" s="292">
        <f>COUNTIF($O$6:O23,"&gt;"&amp;C24)*$V$14</f>
        <v>0</v>
      </c>
      <c r="L24" s="278">
        <f t="shared" si="2"/>
        <v>0</v>
      </c>
      <c r="M24" s="292">
        <f t="shared" si="3"/>
        <v>1</v>
      </c>
      <c r="N24" s="278">
        <f t="shared" ref="N24:N26" si="14">IF(M24=0,0,2)</f>
        <v>2</v>
      </c>
      <c r="O24" s="293">
        <f t="shared" si="9"/>
        <v>22</v>
      </c>
      <c r="P24" s="285">
        <f t="shared" si="5"/>
        <v>0</v>
      </c>
      <c r="Q24" s="286">
        <f t="shared" si="6"/>
        <v>150</v>
      </c>
      <c r="R24" s="287">
        <f t="shared" si="7"/>
        <v>20</v>
      </c>
      <c r="S24" s="277"/>
      <c r="T24" s="308" t="s">
        <v>196</v>
      </c>
      <c r="U24" s="282"/>
      <c r="V24" s="305"/>
      <c r="W24" s="281"/>
    </row>
    <row r="25" spans="2:23" ht="16" thickBot="1" x14ac:dyDescent="0.25">
      <c r="B25" s="17"/>
      <c r="C25" s="291">
        <v>20</v>
      </c>
      <c r="D25" s="278">
        <f t="shared" si="10"/>
        <v>0</v>
      </c>
      <c r="E25" s="278">
        <f>COUNTIF($O$6:O24,C25)*$V$14</f>
        <v>0</v>
      </c>
      <c r="F25" s="278">
        <f t="shared" si="8"/>
        <v>0</v>
      </c>
      <c r="G25" s="278">
        <v>20</v>
      </c>
      <c r="H25" s="292">
        <f t="shared" si="0"/>
        <v>0</v>
      </c>
      <c r="I25" s="292">
        <f t="shared" si="1"/>
        <v>20</v>
      </c>
      <c r="J25" s="278">
        <f t="shared" si="11"/>
        <v>0</v>
      </c>
      <c r="K25" s="292">
        <f>COUNTIF($O$6:O24,"&gt;"&amp;C25)*$V$14</f>
        <v>45</v>
      </c>
      <c r="L25" s="278">
        <f t="shared" si="2"/>
        <v>45</v>
      </c>
      <c r="M25" s="292">
        <f t="shared" si="3"/>
        <v>0</v>
      </c>
      <c r="N25" s="278">
        <f t="shared" si="14"/>
        <v>0</v>
      </c>
      <c r="O25" s="293">
        <f t="shared" si="9"/>
        <v>0</v>
      </c>
      <c r="P25" s="285">
        <f t="shared" si="5"/>
        <v>0</v>
      </c>
      <c r="Q25" s="286">
        <f t="shared" si="6"/>
        <v>200</v>
      </c>
      <c r="R25" s="287">
        <f t="shared" si="7"/>
        <v>0</v>
      </c>
      <c r="S25" s="277"/>
      <c r="T25" s="277"/>
      <c r="U25" s="277"/>
      <c r="V25" s="278"/>
      <c r="W25" s="311"/>
    </row>
    <row r="26" spans="2:23" x14ac:dyDescent="0.2">
      <c r="B26" s="17"/>
      <c r="C26" s="291">
        <v>21</v>
      </c>
      <c r="D26" s="278">
        <f t="shared" si="10"/>
        <v>0</v>
      </c>
      <c r="E26" s="278">
        <f>COUNTIF($O$6:O25,C26)*$V$14</f>
        <v>0</v>
      </c>
      <c r="F26" s="278">
        <f t="shared" si="8"/>
        <v>0</v>
      </c>
      <c r="G26" s="278">
        <v>20</v>
      </c>
      <c r="H26" s="292">
        <f t="shared" si="0"/>
        <v>0</v>
      </c>
      <c r="I26" s="292">
        <f t="shared" si="1"/>
        <v>20</v>
      </c>
      <c r="J26" s="278">
        <f t="shared" si="11"/>
        <v>0</v>
      </c>
      <c r="K26" s="292">
        <f>COUNTIF($O$6:O25,"&gt;"&amp;C26)*$V$14</f>
        <v>45</v>
      </c>
      <c r="L26" s="278">
        <f t="shared" si="2"/>
        <v>45</v>
      </c>
      <c r="M26" s="292">
        <f t="shared" si="3"/>
        <v>0</v>
      </c>
      <c r="N26" s="278">
        <f t="shared" si="14"/>
        <v>0</v>
      </c>
      <c r="O26" s="293">
        <f t="shared" si="9"/>
        <v>0</v>
      </c>
      <c r="P26" s="285">
        <f t="shared" si="5"/>
        <v>0</v>
      </c>
      <c r="Q26" s="286">
        <f t="shared" si="6"/>
        <v>200</v>
      </c>
      <c r="R26" s="287">
        <f t="shared" si="7"/>
        <v>0</v>
      </c>
      <c r="S26" s="277"/>
      <c r="T26" s="306" t="s">
        <v>197</v>
      </c>
      <c r="U26" s="307"/>
      <c r="V26" s="312">
        <v>20</v>
      </c>
      <c r="W26" s="281"/>
    </row>
    <row r="27" spans="2:23" ht="16" thickBot="1" x14ac:dyDescent="0.25">
      <c r="B27" s="17"/>
      <c r="C27" s="291">
        <v>22</v>
      </c>
      <c r="D27" s="278">
        <f t="shared" si="10"/>
        <v>0</v>
      </c>
      <c r="E27" s="278">
        <f>COUNTIF($O$6:O26,C27)*$V$14</f>
        <v>45</v>
      </c>
      <c r="F27" s="278">
        <f t="shared" si="8"/>
        <v>45</v>
      </c>
      <c r="G27" s="278">
        <v>30</v>
      </c>
      <c r="H27" s="292">
        <f t="shared" si="0"/>
        <v>30</v>
      </c>
      <c r="I27" s="292">
        <f t="shared" si="1"/>
        <v>0</v>
      </c>
      <c r="J27" s="278">
        <f t="shared" si="11"/>
        <v>15</v>
      </c>
      <c r="K27" s="292">
        <f>COUNTIF($O$6:O26,"&gt;"&amp;C27)*$V$14</f>
        <v>0</v>
      </c>
      <c r="L27" s="278">
        <f t="shared" si="2"/>
        <v>15</v>
      </c>
      <c r="M27" s="292">
        <f t="shared" si="3"/>
        <v>1</v>
      </c>
      <c r="N27" s="278">
        <f>IF(M27=0,0,1)</f>
        <v>1</v>
      </c>
      <c r="O27" s="293">
        <f t="shared" si="9"/>
        <v>24</v>
      </c>
      <c r="P27" s="285">
        <f t="shared" si="5"/>
        <v>7.5</v>
      </c>
      <c r="Q27" s="286">
        <f t="shared" si="6"/>
        <v>0</v>
      </c>
      <c r="R27" s="287">
        <f t="shared" si="7"/>
        <v>20</v>
      </c>
      <c r="S27" s="277"/>
      <c r="T27" s="308" t="s">
        <v>198</v>
      </c>
      <c r="U27" s="282"/>
      <c r="V27" s="305"/>
      <c r="W27" s="279"/>
    </row>
    <row r="28" spans="2:23" x14ac:dyDescent="0.2">
      <c r="B28" s="17"/>
      <c r="C28" s="291">
        <v>23</v>
      </c>
      <c r="D28" s="278">
        <f t="shared" si="10"/>
        <v>15</v>
      </c>
      <c r="E28" s="278">
        <f>COUNTIF($O$6:O27,C28)*$V$14</f>
        <v>0</v>
      </c>
      <c r="F28" s="278">
        <f t="shared" si="8"/>
        <v>15</v>
      </c>
      <c r="G28" s="278">
        <v>10</v>
      </c>
      <c r="H28" s="292">
        <f t="shared" si="0"/>
        <v>10</v>
      </c>
      <c r="I28" s="292">
        <f t="shared" si="1"/>
        <v>0</v>
      </c>
      <c r="J28" s="278">
        <f t="shared" si="11"/>
        <v>5</v>
      </c>
      <c r="K28" s="292">
        <f>COUNTIF($O$6:O27,"&gt;"&amp;C28)*$V$14</f>
        <v>45</v>
      </c>
      <c r="L28" s="278">
        <f t="shared" si="2"/>
        <v>50</v>
      </c>
      <c r="M28" s="292">
        <f t="shared" si="3"/>
        <v>0</v>
      </c>
      <c r="N28" s="278">
        <f t="shared" ref="N28:N31" si="15">IF(M28=0,0,1)</f>
        <v>0</v>
      </c>
      <c r="O28" s="293">
        <f t="shared" si="9"/>
        <v>0</v>
      </c>
      <c r="P28" s="285">
        <f t="shared" si="5"/>
        <v>2.5</v>
      </c>
      <c r="Q28" s="286">
        <f t="shared" si="6"/>
        <v>0</v>
      </c>
      <c r="R28" s="287">
        <f t="shared" si="7"/>
        <v>0</v>
      </c>
      <c r="S28" s="277"/>
      <c r="T28" s="277"/>
      <c r="U28" s="277"/>
      <c r="V28" s="277"/>
      <c r="W28" s="279"/>
    </row>
    <row r="29" spans="2:23" x14ac:dyDescent="0.2">
      <c r="B29" s="17"/>
      <c r="C29" s="291">
        <v>24</v>
      </c>
      <c r="D29" s="278">
        <f t="shared" si="10"/>
        <v>5</v>
      </c>
      <c r="E29" s="278">
        <f>COUNTIF($O$6:O28,C29)*$V$14</f>
        <v>45</v>
      </c>
      <c r="F29" s="278">
        <f t="shared" si="8"/>
        <v>50</v>
      </c>
      <c r="G29" s="278">
        <v>30</v>
      </c>
      <c r="H29" s="292">
        <f t="shared" si="0"/>
        <v>30</v>
      </c>
      <c r="I29" s="292">
        <f t="shared" si="1"/>
        <v>0</v>
      </c>
      <c r="J29" s="278">
        <f t="shared" si="11"/>
        <v>20</v>
      </c>
      <c r="K29" s="292">
        <f>COUNTIF($O$6:O28,"&gt;"&amp;C29)*$V$14</f>
        <v>0</v>
      </c>
      <c r="L29" s="278">
        <f t="shared" si="2"/>
        <v>20</v>
      </c>
      <c r="M29" s="292">
        <f t="shared" si="3"/>
        <v>1</v>
      </c>
      <c r="N29" s="278">
        <f t="shared" si="15"/>
        <v>1</v>
      </c>
      <c r="O29" s="293">
        <f t="shared" si="9"/>
        <v>26</v>
      </c>
      <c r="P29" s="285">
        <f t="shared" si="5"/>
        <v>10</v>
      </c>
      <c r="Q29" s="286">
        <f t="shared" si="6"/>
        <v>0</v>
      </c>
      <c r="R29" s="287">
        <f t="shared" si="7"/>
        <v>20</v>
      </c>
      <c r="S29" s="277"/>
      <c r="T29" s="277"/>
      <c r="U29" s="277"/>
      <c r="V29" s="277"/>
      <c r="W29" s="279"/>
    </row>
    <row r="30" spans="2:23" x14ac:dyDescent="0.2">
      <c r="B30" s="17"/>
      <c r="C30" s="291">
        <v>25</v>
      </c>
      <c r="D30" s="278">
        <f t="shared" si="10"/>
        <v>20</v>
      </c>
      <c r="E30" s="278">
        <f>COUNTIF($O$6:O29,C30)*$V$14</f>
        <v>0</v>
      </c>
      <c r="F30" s="278">
        <f t="shared" si="8"/>
        <v>20</v>
      </c>
      <c r="G30" s="278">
        <v>20</v>
      </c>
      <c r="H30" s="292">
        <f t="shared" si="0"/>
        <v>20</v>
      </c>
      <c r="I30" s="292">
        <f t="shared" si="1"/>
        <v>0</v>
      </c>
      <c r="J30" s="278">
        <f t="shared" si="11"/>
        <v>0</v>
      </c>
      <c r="K30" s="292">
        <f>COUNTIF($O$6:O29,"&gt;"&amp;C30)*$V$14</f>
        <v>45</v>
      </c>
      <c r="L30" s="278">
        <f t="shared" si="2"/>
        <v>45</v>
      </c>
      <c r="M30" s="292">
        <f t="shared" si="3"/>
        <v>0</v>
      </c>
      <c r="N30" s="278">
        <f t="shared" si="15"/>
        <v>0</v>
      </c>
      <c r="O30" s="293">
        <f t="shared" si="9"/>
        <v>0</v>
      </c>
      <c r="P30" s="285">
        <f t="shared" si="5"/>
        <v>0</v>
      </c>
      <c r="Q30" s="286">
        <f t="shared" si="6"/>
        <v>0</v>
      </c>
      <c r="R30" s="287">
        <f t="shared" si="7"/>
        <v>0</v>
      </c>
      <c r="S30" s="277"/>
      <c r="T30" s="277"/>
      <c r="U30" s="277"/>
      <c r="V30" s="277"/>
      <c r="W30" s="279"/>
    </row>
    <row r="31" spans="2:23" x14ac:dyDescent="0.2">
      <c r="B31" s="17"/>
      <c r="C31" s="291">
        <v>26</v>
      </c>
      <c r="D31" s="278">
        <f t="shared" si="10"/>
        <v>0</v>
      </c>
      <c r="E31" s="278">
        <f>COUNTIF($O$6:O30,C31)*$V$14</f>
        <v>45</v>
      </c>
      <c r="F31" s="278">
        <f t="shared" si="8"/>
        <v>45</v>
      </c>
      <c r="G31" s="278">
        <v>50</v>
      </c>
      <c r="H31" s="292">
        <f t="shared" si="0"/>
        <v>45</v>
      </c>
      <c r="I31" s="292">
        <f t="shared" si="1"/>
        <v>5</v>
      </c>
      <c r="J31" s="278">
        <f t="shared" si="11"/>
        <v>0</v>
      </c>
      <c r="K31" s="292">
        <f>COUNTIF($O$6:O30,"&gt;"&amp;C31)*$V$14</f>
        <v>0</v>
      </c>
      <c r="L31" s="278">
        <f t="shared" si="2"/>
        <v>0</v>
      </c>
      <c r="M31" s="292">
        <f t="shared" si="3"/>
        <v>1</v>
      </c>
      <c r="N31" s="278">
        <f t="shared" si="15"/>
        <v>1</v>
      </c>
      <c r="O31" s="293">
        <f t="shared" si="9"/>
        <v>28</v>
      </c>
      <c r="P31" s="285">
        <f t="shared" si="5"/>
        <v>0</v>
      </c>
      <c r="Q31" s="286">
        <f t="shared" si="6"/>
        <v>50</v>
      </c>
      <c r="R31" s="287">
        <f t="shared" si="7"/>
        <v>20</v>
      </c>
      <c r="S31" s="277"/>
      <c r="T31" s="277"/>
      <c r="U31" s="277"/>
      <c r="V31" s="277"/>
      <c r="W31" s="279"/>
    </row>
    <row r="32" spans="2:23" x14ac:dyDescent="0.2">
      <c r="B32" s="17"/>
      <c r="C32" s="291">
        <v>27</v>
      </c>
      <c r="D32" s="278">
        <f t="shared" si="10"/>
        <v>0</v>
      </c>
      <c r="E32" s="278">
        <f>COUNTIF($O$6:O31,C32)*$V$14</f>
        <v>0</v>
      </c>
      <c r="F32" s="278">
        <f t="shared" si="8"/>
        <v>0</v>
      </c>
      <c r="G32" s="278">
        <v>0</v>
      </c>
      <c r="H32" s="292">
        <f t="shared" si="0"/>
        <v>0</v>
      </c>
      <c r="I32" s="292">
        <f t="shared" si="1"/>
        <v>0</v>
      </c>
      <c r="J32" s="278">
        <f t="shared" si="11"/>
        <v>0</v>
      </c>
      <c r="K32" s="292">
        <f>COUNTIF($O$6:O31,"&gt;"&amp;C32)*$V$14</f>
        <v>45</v>
      </c>
      <c r="L32" s="278">
        <f t="shared" si="2"/>
        <v>45</v>
      </c>
      <c r="M32" s="292">
        <f t="shared" si="3"/>
        <v>0</v>
      </c>
      <c r="N32" s="278">
        <f t="shared" ref="N32:N35" si="16">IF(M32=0,0,3)</f>
        <v>0</v>
      </c>
      <c r="O32" s="293">
        <f t="shared" si="9"/>
        <v>0</v>
      </c>
      <c r="P32" s="285">
        <f t="shared" si="5"/>
        <v>0</v>
      </c>
      <c r="Q32" s="286">
        <f t="shared" si="6"/>
        <v>0</v>
      </c>
      <c r="R32" s="287">
        <f t="shared" si="7"/>
        <v>0</v>
      </c>
      <c r="S32" s="277"/>
      <c r="T32" s="277"/>
      <c r="U32" s="277"/>
      <c r="V32" s="277"/>
      <c r="W32" s="279"/>
    </row>
    <row r="33" spans="2:23" x14ac:dyDescent="0.2">
      <c r="B33" s="17"/>
      <c r="C33" s="291">
        <v>28</v>
      </c>
      <c r="D33" s="278">
        <f t="shared" si="10"/>
        <v>0</v>
      </c>
      <c r="E33" s="278">
        <f>COUNTIF($O$6:O32,C33)*$V$14</f>
        <v>45</v>
      </c>
      <c r="F33" s="278">
        <f t="shared" si="8"/>
        <v>45</v>
      </c>
      <c r="G33" s="278">
        <v>20</v>
      </c>
      <c r="H33" s="292">
        <f t="shared" si="0"/>
        <v>20</v>
      </c>
      <c r="I33" s="292">
        <f t="shared" si="1"/>
        <v>0</v>
      </c>
      <c r="J33" s="278">
        <f t="shared" si="11"/>
        <v>25</v>
      </c>
      <c r="K33" s="292">
        <f>COUNTIF($O$6:O32,"&gt;"&amp;C33)*$V$14</f>
        <v>0</v>
      </c>
      <c r="L33" s="278">
        <f t="shared" si="2"/>
        <v>25</v>
      </c>
      <c r="M33" s="292">
        <f t="shared" si="3"/>
        <v>0</v>
      </c>
      <c r="N33" s="278">
        <f t="shared" si="16"/>
        <v>0</v>
      </c>
      <c r="O33" s="293">
        <f t="shared" si="9"/>
        <v>0</v>
      </c>
      <c r="P33" s="285">
        <f t="shared" si="5"/>
        <v>12.5</v>
      </c>
      <c r="Q33" s="286">
        <f t="shared" si="6"/>
        <v>0</v>
      </c>
      <c r="R33" s="287">
        <f t="shared" si="7"/>
        <v>0</v>
      </c>
      <c r="S33" s="277"/>
      <c r="T33" s="277"/>
      <c r="U33" s="277"/>
      <c r="V33" s="277"/>
      <c r="W33" s="279"/>
    </row>
    <row r="34" spans="2:23" x14ac:dyDescent="0.2">
      <c r="B34" s="17"/>
      <c r="C34" s="291">
        <v>29</v>
      </c>
      <c r="D34" s="278">
        <f t="shared" si="10"/>
        <v>25</v>
      </c>
      <c r="E34" s="278">
        <f>COUNTIF($O$6:O33,C34)*$V$14</f>
        <v>0</v>
      </c>
      <c r="F34" s="278">
        <f t="shared" si="8"/>
        <v>25</v>
      </c>
      <c r="G34" s="278">
        <v>10</v>
      </c>
      <c r="H34" s="292">
        <f t="shared" si="0"/>
        <v>10</v>
      </c>
      <c r="I34" s="292">
        <f t="shared" si="1"/>
        <v>0</v>
      </c>
      <c r="J34" s="278">
        <f t="shared" si="11"/>
        <v>15</v>
      </c>
      <c r="K34" s="292">
        <f>COUNTIF($O$6:O33,"&gt;"&amp;C34)*$V$14</f>
        <v>0</v>
      </c>
      <c r="L34" s="278">
        <f t="shared" si="2"/>
        <v>15</v>
      </c>
      <c r="M34" s="292">
        <f t="shared" si="3"/>
        <v>1</v>
      </c>
      <c r="N34" s="278">
        <f t="shared" si="16"/>
        <v>3</v>
      </c>
      <c r="O34" s="293">
        <f t="shared" si="9"/>
        <v>33</v>
      </c>
      <c r="P34" s="285">
        <f t="shared" si="5"/>
        <v>7.5</v>
      </c>
      <c r="Q34" s="286">
        <f t="shared" si="6"/>
        <v>0</v>
      </c>
      <c r="R34" s="287">
        <f t="shared" si="7"/>
        <v>20</v>
      </c>
      <c r="S34" s="277"/>
      <c r="T34" s="277"/>
      <c r="U34" s="277"/>
      <c r="V34" s="277"/>
      <c r="W34" s="279"/>
    </row>
    <row r="35" spans="2:23" ht="16" thickBot="1" x14ac:dyDescent="0.25">
      <c r="B35" s="17"/>
      <c r="C35" s="298">
        <v>30</v>
      </c>
      <c r="D35" s="313">
        <f t="shared" si="10"/>
        <v>15</v>
      </c>
      <c r="E35" s="313">
        <f>COUNTIF($O$6:O34,C35)*$V$14</f>
        <v>0</v>
      </c>
      <c r="F35" s="313">
        <f t="shared" si="8"/>
        <v>15</v>
      </c>
      <c r="G35" s="313">
        <v>30</v>
      </c>
      <c r="H35" s="292">
        <f t="shared" si="0"/>
        <v>15</v>
      </c>
      <c r="I35" s="292">
        <f t="shared" si="1"/>
        <v>15</v>
      </c>
      <c r="J35" s="313">
        <f t="shared" si="11"/>
        <v>0</v>
      </c>
      <c r="K35" s="292">
        <f>COUNTIF($O$6:O34,"&gt;"&amp;C35)*$V$14</f>
        <v>45</v>
      </c>
      <c r="L35" s="313">
        <f t="shared" si="2"/>
        <v>45</v>
      </c>
      <c r="M35" s="292">
        <f t="shared" si="3"/>
        <v>0</v>
      </c>
      <c r="N35" s="313">
        <f t="shared" si="16"/>
        <v>0</v>
      </c>
      <c r="O35" s="305">
        <f t="shared" si="9"/>
        <v>0</v>
      </c>
      <c r="P35" s="285">
        <f t="shared" si="5"/>
        <v>0</v>
      </c>
      <c r="Q35" s="286">
        <f t="shared" si="6"/>
        <v>150</v>
      </c>
      <c r="R35" s="287">
        <f t="shared" si="7"/>
        <v>0</v>
      </c>
      <c r="S35" s="277"/>
      <c r="T35" s="277"/>
      <c r="U35" s="277"/>
      <c r="V35" s="277"/>
      <c r="W35" s="279"/>
    </row>
    <row r="36" spans="2:23" ht="16" thickBot="1" x14ac:dyDescent="0.25">
      <c r="B36" s="17"/>
      <c r="C36" s="277"/>
      <c r="D36" s="277"/>
      <c r="E36" s="277"/>
      <c r="F36" s="277"/>
      <c r="G36" s="278"/>
      <c r="H36" s="277"/>
      <c r="I36" s="277"/>
      <c r="J36" s="277"/>
      <c r="K36" s="277"/>
      <c r="L36" s="277"/>
      <c r="M36" s="277"/>
      <c r="N36" s="314"/>
      <c r="O36" s="303" t="s">
        <v>199</v>
      </c>
      <c r="P36" s="387">
        <f>SUM(P6:P35)</f>
        <v>195</v>
      </c>
      <c r="Q36" s="388">
        <f>SUM(Q6:Q35)</f>
        <v>2250</v>
      </c>
      <c r="R36" s="389">
        <f>SUM(R6:R35)</f>
        <v>200</v>
      </c>
      <c r="S36" s="277"/>
      <c r="T36" s="277"/>
      <c r="U36" s="277"/>
      <c r="V36" s="277"/>
      <c r="W36" s="309"/>
    </row>
    <row r="37" spans="2:23" ht="16" thickBot="1" x14ac:dyDescent="0.25">
      <c r="B37" s="17"/>
      <c r="C37" s="277"/>
      <c r="D37" s="277"/>
      <c r="E37" s="277"/>
      <c r="F37" s="277"/>
      <c r="G37" s="278"/>
      <c r="H37" s="277"/>
      <c r="I37" s="277"/>
      <c r="J37" s="277"/>
      <c r="K37" s="277"/>
      <c r="L37" s="277"/>
      <c r="M37" s="277"/>
      <c r="N37" s="277"/>
      <c r="O37" s="390" t="s">
        <v>200</v>
      </c>
      <c r="P37" s="391"/>
      <c r="Q37" s="391"/>
      <c r="R37" s="427">
        <f>SUM(P36:R36)</f>
        <v>2645</v>
      </c>
      <c r="S37" s="277"/>
      <c r="T37" s="277"/>
      <c r="U37" s="277"/>
      <c r="V37" s="277"/>
      <c r="W37" s="279"/>
    </row>
    <row r="38" spans="2:23" x14ac:dyDescent="0.2">
      <c r="B38" s="17"/>
      <c r="C38" s="277"/>
      <c r="D38" s="277"/>
      <c r="E38" s="277"/>
      <c r="F38" s="277"/>
      <c r="G38" s="278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277"/>
      <c r="V38" s="277"/>
      <c r="W38" s="279"/>
    </row>
    <row r="39" spans="2:23" x14ac:dyDescent="0.2">
      <c r="B39" s="17"/>
      <c r="C39" s="277"/>
      <c r="D39" s="277"/>
      <c r="E39" s="277"/>
      <c r="F39" s="277"/>
      <c r="G39" s="278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277"/>
      <c r="V39" s="277"/>
      <c r="W39" s="279"/>
    </row>
    <row r="40" spans="2:23" x14ac:dyDescent="0.2">
      <c r="C40" s="378"/>
      <c r="D40" s="378"/>
      <c r="E40" s="378"/>
      <c r="F40" s="378"/>
      <c r="G40" s="379"/>
      <c r="H40" s="378"/>
      <c r="I40" s="378"/>
      <c r="J40" s="378"/>
      <c r="K40" s="378"/>
      <c r="L40" s="378"/>
      <c r="M40" s="378"/>
      <c r="N40" s="378"/>
      <c r="O40" s="378"/>
      <c r="P40" s="378"/>
      <c r="Q40" s="378"/>
      <c r="R40" s="378"/>
      <c r="S40" s="378"/>
      <c r="T40" s="378"/>
      <c r="U40" s="378"/>
      <c r="V40" s="378"/>
      <c r="W40" s="380"/>
    </row>
    <row r="41" spans="2:23" x14ac:dyDescent="0.2">
      <c r="C41" s="378"/>
      <c r="D41" s="378"/>
      <c r="E41" s="378"/>
      <c r="F41" s="378"/>
      <c r="G41" s="379"/>
      <c r="H41" s="378"/>
      <c r="I41" s="378"/>
      <c r="J41" s="378"/>
      <c r="K41" s="378"/>
      <c r="L41" s="378"/>
      <c r="M41" s="378"/>
      <c r="N41" s="378"/>
      <c r="O41" s="378"/>
      <c r="P41" s="378"/>
      <c r="Q41" s="378"/>
      <c r="R41" s="378"/>
      <c r="S41" s="378"/>
      <c r="T41" s="378"/>
      <c r="U41" s="378"/>
      <c r="V41" s="378"/>
      <c r="W41" s="380"/>
    </row>
    <row r="42" spans="2:23" x14ac:dyDescent="0.2">
      <c r="C42" s="381"/>
      <c r="D42" s="381"/>
      <c r="E42" s="381"/>
      <c r="F42" s="381"/>
      <c r="G42" s="381"/>
      <c r="H42" s="378"/>
      <c r="I42" s="378"/>
      <c r="J42" s="381"/>
      <c r="K42" s="381"/>
      <c r="L42" s="381"/>
      <c r="M42" s="381"/>
      <c r="N42" s="382"/>
      <c r="O42" s="382"/>
      <c r="P42" s="378"/>
      <c r="Q42" s="378"/>
      <c r="R42" s="378"/>
      <c r="S42" s="378"/>
      <c r="T42" s="378"/>
      <c r="U42" s="378"/>
      <c r="V42" s="378"/>
      <c r="W42" s="380"/>
    </row>
    <row r="43" spans="2:23" x14ac:dyDescent="0.2">
      <c r="C43" s="378"/>
      <c r="D43" s="383"/>
      <c r="E43" s="384"/>
      <c r="F43" s="384"/>
      <c r="G43" s="385"/>
      <c r="H43" s="378"/>
      <c r="I43" s="378"/>
      <c r="J43" s="383"/>
      <c r="K43" s="384"/>
      <c r="L43" s="384"/>
      <c r="M43" s="384"/>
      <c r="N43" s="382"/>
      <c r="O43" s="382"/>
      <c r="P43" s="378"/>
      <c r="Q43" s="378"/>
      <c r="R43" s="378"/>
      <c r="S43" s="378"/>
      <c r="T43" s="378"/>
      <c r="U43" s="378"/>
      <c r="V43" s="378"/>
      <c r="W43" s="380"/>
    </row>
    <row r="44" spans="2:23" x14ac:dyDescent="0.2">
      <c r="C44" s="378"/>
      <c r="D44" s="383"/>
      <c r="E44" s="384"/>
      <c r="F44" s="384"/>
      <c r="G44" s="385"/>
      <c r="H44" s="378"/>
      <c r="I44" s="378"/>
      <c r="J44" s="386"/>
      <c r="K44" s="386"/>
      <c r="L44" s="386"/>
      <c r="M44" s="386"/>
      <c r="N44" s="382"/>
      <c r="O44" s="382"/>
      <c r="P44" s="378"/>
      <c r="Q44" s="378"/>
      <c r="R44" s="378"/>
      <c r="S44" s="378"/>
      <c r="T44" s="378"/>
      <c r="U44" s="378"/>
      <c r="V44" s="378"/>
      <c r="W44" s="380"/>
    </row>
    <row r="45" spans="2:23" x14ac:dyDescent="0.2">
      <c r="C45" s="378"/>
      <c r="D45" s="383"/>
      <c r="E45" s="384"/>
      <c r="F45" s="384"/>
      <c r="G45" s="385"/>
      <c r="H45" s="378"/>
      <c r="I45" s="378"/>
      <c r="J45" s="378"/>
      <c r="K45" s="378"/>
      <c r="L45" s="378"/>
      <c r="M45" s="378"/>
      <c r="N45" s="378"/>
      <c r="O45" s="378"/>
      <c r="P45" s="378"/>
      <c r="Q45" s="378"/>
      <c r="R45" s="378"/>
      <c r="S45" s="378"/>
      <c r="T45" s="378"/>
      <c r="U45" s="378"/>
      <c r="V45" s="378"/>
      <c r="W45" s="380"/>
    </row>
    <row r="46" spans="2:23" x14ac:dyDescent="0.2">
      <c r="C46" s="378"/>
      <c r="D46" s="383"/>
      <c r="E46" s="384"/>
      <c r="F46" s="384"/>
      <c r="G46" s="385"/>
      <c r="H46" s="378"/>
      <c r="I46" s="380"/>
      <c r="J46" s="380"/>
      <c r="K46" s="380"/>
      <c r="L46" s="380"/>
      <c r="M46" s="380"/>
      <c r="N46" s="380"/>
      <c r="O46" s="378"/>
      <c r="P46" s="378"/>
      <c r="Q46" s="378"/>
      <c r="R46" s="378"/>
      <c r="S46" s="378"/>
      <c r="T46" s="378"/>
      <c r="U46" s="378"/>
      <c r="V46" s="378"/>
      <c r="W46" s="380"/>
    </row>
  </sheetData>
  <mergeCells count="1">
    <mergeCell ref="T5:U5"/>
  </mergeCells>
  <pageMargins left="0.7" right="0.7" top="0.75" bottom="0.75" header="0.3" footer="0.3"/>
  <picture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03D3-BB80-426A-A6DB-99764D945C85}">
  <sheetPr codeName="Sheet29"/>
  <dimension ref="A1:BU17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Z18" sqref="Z18"/>
    </sheetView>
  </sheetViews>
  <sheetFormatPr baseColWidth="10" defaultColWidth="9.1640625" defaultRowHeight="15" x14ac:dyDescent="0.2"/>
  <cols>
    <col min="1" max="1" width="2.83203125" style="348" customWidth="1"/>
    <col min="2" max="2" width="5.6640625" style="17" customWidth="1"/>
    <col min="3" max="3" width="10.33203125" style="17" customWidth="1"/>
    <col min="4" max="5" width="8.6640625" style="17" customWidth="1"/>
    <col min="6" max="6" width="8.83203125" style="17" customWidth="1"/>
    <col min="7" max="7" width="9.83203125" style="17" customWidth="1"/>
    <col min="8" max="27" width="6.6640625" style="17" customWidth="1"/>
    <col min="28" max="16384" width="9.1640625" style="17"/>
  </cols>
  <sheetData>
    <row r="1" spans="3:73" s="348" customFormat="1" ht="18.5" customHeight="1" x14ac:dyDescent="0.2">
      <c r="AC1" s="350"/>
      <c r="AD1" s="350"/>
    </row>
    <row r="2" spans="3:73" ht="27.5" customHeight="1" x14ac:dyDescent="0.2">
      <c r="AC2" s="1"/>
      <c r="AD2" s="5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</row>
    <row r="3" spans="3:73" x14ac:dyDescent="0.2">
      <c r="D3" s="316" t="s">
        <v>30</v>
      </c>
      <c r="E3" s="317"/>
      <c r="F3" s="317"/>
      <c r="G3" s="318"/>
      <c r="H3" s="319" t="s">
        <v>201</v>
      </c>
      <c r="I3" s="319" t="s">
        <v>202</v>
      </c>
      <c r="J3" s="319" t="s">
        <v>203</v>
      </c>
      <c r="K3" s="319" t="s">
        <v>204</v>
      </c>
      <c r="L3" s="319" t="s">
        <v>205</v>
      </c>
      <c r="M3" s="319" t="s">
        <v>206</v>
      </c>
      <c r="N3" s="319" t="s">
        <v>207</v>
      </c>
      <c r="O3" s="319" t="s">
        <v>208</v>
      </c>
      <c r="P3" s="319" t="s">
        <v>209</v>
      </c>
      <c r="Q3" s="319" t="s">
        <v>210</v>
      </c>
      <c r="R3" s="319" t="s">
        <v>211</v>
      </c>
      <c r="S3" s="319" t="s">
        <v>212</v>
      </c>
      <c r="T3" s="319" t="s">
        <v>213</v>
      </c>
      <c r="U3" s="319" t="s">
        <v>214</v>
      </c>
      <c r="V3" s="319" t="s">
        <v>215</v>
      </c>
      <c r="W3" s="319" t="s">
        <v>216</v>
      </c>
      <c r="X3" s="319" t="s">
        <v>217</v>
      </c>
      <c r="Y3" s="319" t="s">
        <v>218</v>
      </c>
      <c r="Z3" s="319" t="s">
        <v>219</v>
      </c>
      <c r="AA3" s="319" t="s">
        <v>220</v>
      </c>
      <c r="AB3" s="315"/>
      <c r="AC3" s="1"/>
      <c r="AD3" s="5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</row>
    <row r="4" spans="3:73" x14ac:dyDescent="0.2">
      <c r="D4" s="17">
        <v>200</v>
      </c>
      <c r="G4" s="315"/>
      <c r="H4" s="292" cm="1">
        <f t="array" aca="1" ref="H4" ca="1">INDEX($D$4:$D$13,RANDBETWEEN(1,10))</f>
        <v>200</v>
      </c>
      <c r="I4" s="292" cm="1">
        <f t="array" aca="1" ref="I4" ca="1">INDEX($D$4:$D$13,RANDBETWEEN(1,10))</f>
        <v>190</v>
      </c>
      <c r="J4" s="292" cm="1">
        <f t="array" aca="1" ref="J4" ca="1">INDEX($D$4:$D$13,RANDBETWEEN(1,10))</f>
        <v>190</v>
      </c>
      <c r="K4" s="292" cm="1">
        <f t="array" aca="1" ref="K4" ca="1">INDEX($D$4:$D$13,RANDBETWEEN(1,10))</f>
        <v>235</v>
      </c>
      <c r="L4" s="292" cm="1">
        <f t="array" aca="1" ref="L4" ca="1">INDEX($D$4:$D$13,RANDBETWEEN(1,10))</f>
        <v>235</v>
      </c>
      <c r="M4" s="292" cm="1">
        <f t="array" aca="1" ref="M4" ca="1">INDEX($D$4:$D$13,RANDBETWEEN(1,10))</f>
        <v>190</v>
      </c>
      <c r="N4" s="292" cm="1">
        <f t="array" aca="1" ref="N4" ca="1">INDEX($D$4:$D$13,RANDBETWEEN(1,10))</f>
        <v>235</v>
      </c>
      <c r="O4" s="292" cm="1">
        <f t="array" aca="1" ref="O4" ca="1">INDEX($D$4:$D$13,RANDBETWEEN(1,10))</f>
        <v>225</v>
      </c>
      <c r="P4" s="292" cm="1">
        <f t="array" aca="1" ref="P4" ca="1">INDEX($D$4:$D$13,RANDBETWEEN(1,10))</f>
        <v>210</v>
      </c>
      <c r="Q4" s="292" cm="1">
        <f t="array" aca="1" ref="Q4" ca="1">INDEX($D$4:$D$13,RANDBETWEEN(1,10))</f>
        <v>190</v>
      </c>
      <c r="R4" s="292" cm="1">
        <f t="array" aca="1" ref="R4" ca="1">INDEX($D$4:$D$13,RANDBETWEEN(1,10))</f>
        <v>235</v>
      </c>
      <c r="S4" s="292" cm="1">
        <f t="array" aca="1" ref="S4" ca="1">INDEX($D$4:$D$13,RANDBETWEEN(1,10))</f>
        <v>245</v>
      </c>
      <c r="T4" s="292" cm="1">
        <f t="array" aca="1" ref="T4" ca="1">INDEX($D$4:$D$13,RANDBETWEEN(1,10))</f>
        <v>245</v>
      </c>
      <c r="U4" s="292" cm="1">
        <f t="array" aca="1" ref="U4" ca="1">INDEX($D$4:$D$13,RANDBETWEEN(1,10))</f>
        <v>190</v>
      </c>
      <c r="V4" s="292" cm="1">
        <f t="array" aca="1" ref="V4" ca="1">INDEX($D$4:$D$13,RANDBETWEEN(1,10))</f>
        <v>235</v>
      </c>
      <c r="W4" s="292" cm="1">
        <f t="array" aca="1" ref="W4" ca="1">INDEX($D$4:$D$13,RANDBETWEEN(1,10))</f>
        <v>190</v>
      </c>
      <c r="X4" s="292" cm="1">
        <f t="array" aca="1" ref="X4" ca="1">INDEX($D$4:$D$13,RANDBETWEEN(1,10))</f>
        <v>260</v>
      </c>
      <c r="Y4" s="292" cm="1">
        <f t="array" aca="1" ref="Y4" ca="1">INDEX($D$4:$D$13,RANDBETWEEN(1,10))</f>
        <v>225</v>
      </c>
      <c r="Z4" s="292" cm="1">
        <f t="array" aca="1" ref="Z4" ca="1">INDEX($D$4:$D$13,RANDBETWEEN(1,10))</f>
        <v>200</v>
      </c>
      <c r="AA4" s="292" cm="1">
        <f t="array" aca="1" ref="AA4" ca="1">INDEX($D$4:$D$13,RANDBETWEEN(1,10))</f>
        <v>190</v>
      </c>
      <c r="AB4" s="315"/>
      <c r="AC4" s="1"/>
      <c r="AD4" s="5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</row>
    <row r="5" spans="3:73" x14ac:dyDescent="0.2">
      <c r="D5" s="17">
        <v>235</v>
      </c>
      <c r="G5" s="315"/>
      <c r="H5" s="292" cm="1">
        <f t="array" aca="1" ref="H5" ca="1">INDEX($D$4:$D$13,RANDBETWEEN(1,10))</f>
        <v>260</v>
      </c>
      <c r="I5" s="292" cm="1">
        <f t="array" aca="1" ref="I5" ca="1">INDEX($D$4:$D$13,RANDBETWEEN(1,10))</f>
        <v>245</v>
      </c>
      <c r="J5" s="292" cm="1">
        <f t="array" aca="1" ref="J5" ca="1">INDEX($D$4:$D$13,RANDBETWEEN(1,10))</f>
        <v>225</v>
      </c>
      <c r="K5" s="292" cm="1">
        <f t="array" aca="1" ref="K5" ca="1">INDEX($D$4:$D$13,RANDBETWEEN(1,10))</f>
        <v>200</v>
      </c>
      <c r="L5" s="292" cm="1">
        <f t="array" aca="1" ref="L5" ca="1">INDEX($D$4:$D$13,RANDBETWEEN(1,10))</f>
        <v>225</v>
      </c>
      <c r="M5" s="292" cm="1">
        <f t="array" aca="1" ref="M5" ca="1">INDEX($D$4:$D$13,RANDBETWEEN(1,10))</f>
        <v>235</v>
      </c>
      <c r="N5" s="292" cm="1">
        <f t="array" aca="1" ref="N5" ca="1">INDEX($D$4:$D$13,RANDBETWEEN(1,10))</f>
        <v>235</v>
      </c>
      <c r="O5" s="292" cm="1">
        <f t="array" aca="1" ref="O5" ca="1">INDEX($D$4:$D$13,RANDBETWEEN(1,10))</f>
        <v>260</v>
      </c>
      <c r="P5" s="292" cm="1">
        <f t="array" aca="1" ref="P5" ca="1">INDEX($D$4:$D$13,RANDBETWEEN(1,10))</f>
        <v>190</v>
      </c>
      <c r="Q5" s="292" cm="1">
        <f t="array" aca="1" ref="Q5" ca="1">INDEX($D$4:$D$13,RANDBETWEEN(1,10))</f>
        <v>210</v>
      </c>
      <c r="R5" s="292" cm="1">
        <f t="array" aca="1" ref="R5" ca="1">INDEX($D$4:$D$13,RANDBETWEEN(1,10))</f>
        <v>260</v>
      </c>
      <c r="S5" s="292" cm="1">
        <f t="array" aca="1" ref="S5" ca="1">INDEX($D$4:$D$13,RANDBETWEEN(1,10))</f>
        <v>220</v>
      </c>
      <c r="T5" s="292" cm="1">
        <f t="array" aca="1" ref="T5" ca="1">INDEX($D$4:$D$13,RANDBETWEEN(1,10))</f>
        <v>200</v>
      </c>
      <c r="U5" s="292" cm="1">
        <f t="array" aca="1" ref="U5" ca="1">INDEX($D$4:$D$13,RANDBETWEEN(1,10))</f>
        <v>225</v>
      </c>
      <c r="V5" s="292" cm="1">
        <f t="array" aca="1" ref="V5" ca="1">INDEX($D$4:$D$13,RANDBETWEEN(1,10))</f>
        <v>260</v>
      </c>
      <c r="W5" s="292" cm="1">
        <f t="array" aca="1" ref="W5" ca="1">INDEX($D$4:$D$13,RANDBETWEEN(1,10))</f>
        <v>210</v>
      </c>
      <c r="X5" s="292" cm="1">
        <f t="array" aca="1" ref="X5" ca="1">INDEX($D$4:$D$13,RANDBETWEEN(1,10))</f>
        <v>185</v>
      </c>
      <c r="Y5" s="292" cm="1">
        <f t="array" aca="1" ref="Y5" ca="1">INDEX($D$4:$D$13,RANDBETWEEN(1,10))</f>
        <v>185</v>
      </c>
      <c r="Z5" s="292" cm="1">
        <f t="array" aca="1" ref="Z5" ca="1">INDEX($D$4:$D$13,RANDBETWEEN(1,10))</f>
        <v>190</v>
      </c>
      <c r="AA5" s="292" cm="1">
        <f t="array" aca="1" ref="AA5" ca="1">INDEX($D$4:$D$13,RANDBETWEEN(1,10))</f>
        <v>245</v>
      </c>
      <c r="AB5" s="315"/>
      <c r="AC5" s="1"/>
      <c r="AD5" s="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</row>
    <row r="6" spans="3:73" x14ac:dyDescent="0.2">
      <c r="D6" s="17">
        <v>190</v>
      </c>
      <c r="G6" s="315"/>
      <c r="H6" s="292" cm="1">
        <f t="array" aca="1" ref="H6" ca="1">INDEX($D$4:$D$13,RANDBETWEEN(1,10))</f>
        <v>185</v>
      </c>
      <c r="I6" s="292" cm="1">
        <f t="array" aca="1" ref="I6" ca="1">INDEX($D$4:$D$13,RANDBETWEEN(1,10))</f>
        <v>200</v>
      </c>
      <c r="J6" s="292" cm="1">
        <f t="array" aca="1" ref="J6" ca="1">INDEX($D$4:$D$13,RANDBETWEEN(1,10))</f>
        <v>190</v>
      </c>
      <c r="K6" s="292" cm="1">
        <f t="array" aca="1" ref="K6" ca="1">INDEX($D$4:$D$13,RANDBETWEEN(1,10))</f>
        <v>235</v>
      </c>
      <c r="L6" s="292" cm="1">
        <f t="array" aca="1" ref="L6" ca="1">INDEX($D$4:$D$13,RANDBETWEEN(1,10))</f>
        <v>260</v>
      </c>
      <c r="M6" s="292" cm="1">
        <f t="array" aca="1" ref="M6" ca="1">INDEX($D$4:$D$13,RANDBETWEEN(1,10))</f>
        <v>245</v>
      </c>
      <c r="N6" s="292" cm="1">
        <f t="array" aca="1" ref="N6" ca="1">INDEX($D$4:$D$13,RANDBETWEEN(1,10))</f>
        <v>225</v>
      </c>
      <c r="O6" s="292" cm="1">
        <f t="array" aca="1" ref="O6" ca="1">INDEX($D$4:$D$13,RANDBETWEEN(1,10))</f>
        <v>220</v>
      </c>
      <c r="P6" s="292" cm="1">
        <f t="array" aca="1" ref="P6" ca="1">INDEX($D$4:$D$13,RANDBETWEEN(1,10))</f>
        <v>185</v>
      </c>
      <c r="Q6" s="292" cm="1">
        <f t="array" aca="1" ref="Q6" ca="1">INDEX($D$4:$D$13,RANDBETWEEN(1,10))</f>
        <v>185</v>
      </c>
      <c r="R6" s="292" cm="1">
        <f t="array" aca="1" ref="R6" ca="1">INDEX($D$4:$D$13,RANDBETWEEN(1,10))</f>
        <v>245</v>
      </c>
      <c r="S6" s="292" cm="1">
        <f t="array" aca="1" ref="S6" ca="1">INDEX($D$4:$D$13,RANDBETWEEN(1,10))</f>
        <v>235</v>
      </c>
      <c r="T6" s="292" cm="1">
        <f t="array" aca="1" ref="T6" ca="1">INDEX($D$4:$D$13,RANDBETWEEN(1,10))</f>
        <v>185</v>
      </c>
      <c r="U6" s="292" cm="1">
        <f t="array" aca="1" ref="U6" ca="1">INDEX($D$4:$D$13,RANDBETWEEN(1,10))</f>
        <v>220</v>
      </c>
      <c r="V6" s="292" cm="1">
        <f t="array" aca="1" ref="V6" ca="1">INDEX($D$4:$D$13,RANDBETWEEN(1,10))</f>
        <v>185</v>
      </c>
      <c r="W6" s="292" cm="1">
        <f t="array" aca="1" ref="W6" ca="1">INDEX($D$4:$D$13,RANDBETWEEN(1,10))</f>
        <v>190</v>
      </c>
      <c r="X6" s="292" cm="1">
        <f t="array" aca="1" ref="X6" ca="1">INDEX($D$4:$D$13,RANDBETWEEN(1,10))</f>
        <v>220</v>
      </c>
      <c r="Y6" s="292" cm="1">
        <f t="array" aca="1" ref="Y6" ca="1">INDEX($D$4:$D$13,RANDBETWEEN(1,10))</f>
        <v>185</v>
      </c>
      <c r="Z6" s="292" cm="1">
        <f t="array" aca="1" ref="Z6" ca="1">INDEX($D$4:$D$13,RANDBETWEEN(1,10))</f>
        <v>235</v>
      </c>
      <c r="AA6" s="292" cm="1">
        <f t="array" aca="1" ref="AA6" ca="1">INDEX($D$4:$D$13,RANDBETWEEN(1,10))</f>
        <v>235</v>
      </c>
      <c r="AB6" s="315"/>
      <c r="AC6" s="1"/>
      <c r="AD6" s="5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</row>
    <row r="7" spans="3:73" x14ac:dyDescent="0.2">
      <c r="D7" s="17">
        <v>260</v>
      </c>
      <c r="G7" s="315"/>
      <c r="H7" s="292" cm="1">
        <f t="array" aca="1" ref="H7" ca="1">INDEX($D$4:$D$13,RANDBETWEEN(1,10))</f>
        <v>260</v>
      </c>
      <c r="I7" s="292" cm="1">
        <f t="array" aca="1" ref="I7" ca="1">INDEX($D$4:$D$13,RANDBETWEEN(1,10))</f>
        <v>220</v>
      </c>
      <c r="J7" s="292" cm="1">
        <f t="array" aca="1" ref="J7" ca="1">INDEX($D$4:$D$13,RANDBETWEEN(1,10))</f>
        <v>190</v>
      </c>
      <c r="K7" s="292" cm="1">
        <f t="array" aca="1" ref="K7" ca="1">INDEX($D$4:$D$13,RANDBETWEEN(1,10))</f>
        <v>200</v>
      </c>
      <c r="L7" s="292" cm="1">
        <f t="array" aca="1" ref="L7" ca="1">INDEX($D$4:$D$13,RANDBETWEEN(1,10))</f>
        <v>190</v>
      </c>
      <c r="M7" s="292" cm="1">
        <f t="array" aca="1" ref="M7" ca="1">INDEX($D$4:$D$13,RANDBETWEEN(1,10))</f>
        <v>185</v>
      </c>
      <c r="N7" s="292" cm="1">
        <f t="array" aca="1" ref="N7" ca="1">INDEX($D$4:$D$13,RANDBETWEEN(1,10))</f>
        <v>260</v>
      </c>
      <c r="O7" s="292" cm="1">
        <f t="array" aca="1" ref="O7" ca="1">INDEX($D$4:$D$13,RANDBETWEEN(1,10))</f>
        <v>185</v>
      </c>
      <c r="P7" s="292" cm="1">
        <f t="array" aca="1" ref="P7" ca="1">INDEX($D$4:$D$13,RANDBETWEEN(1,10))</f>
        <v>185</v>
      </c>
      <c r="Q7" s="292" cm="1">
        <f t="array" aca="1" ref="Q7" ca="1">INDEX($D$4:$D$13,RANDBETWEEN(1,10))</f>
        <v>220</v>
      </c>
      <c r="R7" s="292" cm="1">
        <f t="array" aca="1" ref="R7" ca="1">INDEX($D$4:$D$13,RANDBETWEEN(1,10))</f>
        <v>235</v>
      </c>
      <c r="S7" s="292" cm="1">
        <f t="array" aca="1" ref="S7" ca="1">INDEX($D$4:$D$13,RANDBETWEEN(1,10))</f>
        <v>190</v>
      </c>
      <c r="T7" s="292" cm="1">
        <f t="array" aca="1" ref="T7" ca="1">INDEX($D$4:$D$13,RANDBETWEEN(1,10))</f>
        <v>185</v>
      </c>
      <c r="U7" s="292" cm="1">
        <f t="array" aca="1" ref="U7" ca="1">INDEX($D$4:$D$13,RANDBETWEEN(1,10))</f>
        <v>190</v>
      </c>
      <c r="V7" s="292" cm="1">
        <f t="array" aca="1" ref="V7" ca="1">INDEX($D$4:$D$13,RANDBETWEEN(1,10))</f>
        <v>260</v>
      </c>
      <c r="W7" s="292" cm="1">
        <f t="array" aca="1" ref="W7" ca="1">INDEX($D$4:$D$13,RANDBETWEEN(1,10))</f>
        <v>190</v>
      </c>
      <c r="X7" s="292" cm="1">
        <f t="array" aca="1" ref="X7" ca="1">INDEX($D$4:$D$13,RANDBETWEEN(1,10))</f>
        <v>190</v>
      </c>
      <c r="Y7" s="292" cm="1">
        <f t="array" aca="1" ref="Y7" ca="1">INDEX($D$4:$D$13,RANDBETWEEN(1,10))</f>
        <v>225</v>
      </c>
      <c r="Z7" s="292" cm="1">
        <f t="array" aca="1" ref="Z7" ca="1">INDEX($D$4:$D$13,RANDBETWEEN(1,10))</f>
        <v>225</v>
      </c>
      <c r="AA7" s="292" cm="1">
        <f t="array" aca="1" ref="AA7" ca="1">INDEX($D$4:$D$13,RANDBETWEEN(1,10))</f>
        <v>260</v>
      </c>
      <c r="AB7" s="315"/>
      <c r="AC7" s="1"/>
      <c r="AD7" s="5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</row>
    <row r="8" spans="3:73" x14ac:dyDescent="0.2">
      <c r="D8" s="17">
        <v>210</v>
      </c>
      <c r="G8" s="315"/>
      <c r="H8" s="292" cm="1">
        <f t="array" aca="1" ref="H8" ca="1">INDEX($D$4:$D$13,RANDBETWEEN(1,10))</f>
        <v>225</v>
      </c>
      <c r="I8" s="292" cm="1">
        <f t="array" aca="1" ref="I8" ca="1">INDEX($D$4:$D$13,RANDBETWEEN(1,10))</f>
        <v>260</v>
      </c>
      <c r="J8" s="292" cm="1">
        <f t="array" aca="1" ref="J8" ca="1">INDEX($D$4:$D$13,RANDBETWEEN(1,10))</f>
        <v>235</v>
      </c>
      <c r="K8" s="292" cm="1">
        <f t="array" aca="1" ref="K8" ca="1">INDEX($D$4:$D$13,RANDBETWEEN(1,10))</f>
        <v>245</v>
      </c>
      <c r="L8" s="292" cm="1">
        <f t="array" aca="1" ref="L8" ca="1">INDEX($D$4:$D$13,RANDBETWEEN(1,10))</f>
        <v>185</v>
      </c>
      <c r="M8" s="292" cm="1">
        <f t="array" aca="1" ref="M8" ca="1">INDEX($D$4:$D$13,RANDBETWEEN(1,10))</f>
        <v>200</v>
      </c>
      <c r="N8" s="292" cm="1">
        <f t="array" aca="1" ref="N8" ca="1">INDEX($D$4:$D$13,RANDBETWEEN(1,10))</f>
        <v>200</v>
      </c>
      <c r="O8" s="292" cm="1">
        <f t="array" aca="1" ref="O8" ca="1">INDEX($D$4:$D$13,RANDBETWEEN(1,10))</f>
        <v>190</v>
      </c>
      <c r="P8" s="292" cm="1">
        <f t="array" aca="1" ref="P8" ca="1">INDEX($D$4:$D$13,RANDBETWEEN(1,10))</f>
        <v>220</v>
      </c>
      <c r="Q8" s="292" cm="1">
        <f t="array" aca="1" ref="Q8" ca="1">INDEX($D$4:$D$13,RANDBETWEEN(1,10))</f>
        <v>190</v>
      </c>
      <c r="R8" s="292" cm="1">
        <f t="array" aca="1" ref="R8" ca="1">INDEX($D$4:$D$13,RANDBETWEEN(1,10))</f>
        <v>200</v>
      </c>
      <c r="S8" s="292" cm="1">
        <f t="array" aca="1" ref="S8" ca="1">INDEX($D$4:$D$13,RANDBETWEEN(1,10))</f>
        <v>235</v>
      </c>
      <c r="T8" s="292" cm="1">
        <f t="array" aca="1" ref="T8" ca="1">INDEX($D$4:$D$13,RANDBETWEEN(1,10))</f>
        <v>210</v>
      </c>
      <c r="U8" s="292" cm="1">
        <f t="array" aca="1" ref="U8" ca="1">INDEX($D$4:$D$13,RANDBETWEEN(1,10))</f>
        <v>220</v>
      </c>
      <c r="V8" s="292" cm="1">
        <f t="array" aca="1" ref="V8" ca="1">INDEX($D$4:$D$13,RANDBETWEEN(1,10))</f>
        <v>200</v>
      </c>
      <c r="W8" s="292" cm="1">
        <f t="array" aca="1" ref="W8" ca="1">INDEX($D$4:$D$13,RANDBETWEEN(1,10))</f>
        <v>220</v>
      </c>
      <c r="X8" s="292" cm="1">
        <f t="array" aca="1" ref="X8" ca="1">INDEX($D$4:$D$13,RANDBETWEEN(1,10))</f>
        <v>200</v>
      </c>
      <c r="Y8" s="292" cm="1">
        <f t="array" aca="1" ref="Y8" ca="1">INDEX($D$4:$D$13,RANDBETWEEN(1,10))</f>
        <v>260</v>
      </c>
      <c r="Z8" s="292" cm="1">
        <f t="array" aca="1" ref="Z8" ca="1">INDEX($D$4:$D$13,RANDBETWEEN(1,10))</f>
        <v>235</v>
      </c>
      <c r="AA8" s="292" cm="1">
        <f t="array" aca="1" ref="AA8" ca="1">INDEX($D$4:$D$13,RANDBETWEEN(1,10))</f>
        <v>185</v>
      </c>
      <c r="AB8" s="315"/>
      <c r="AC8" s="1"/>
      <c r="AD8" s="5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</row>
    <row r="9" spans="3:73" x14ac:dyDescent="0.2">
      <c r="D9" s="17">
        <v>220</v>
      </c>
      <c r="G9" s="315"/>
      <c r="H9" s="292" cm="1">
        <f t="array" aca="1" ref="H9" ca="1">INDEX($D$4:$D$13,RANDBETWEEN(1,10))</f>
        <v>200</v>
      </c>
      <c r="I9" s="292" cm="1">
        <f t="array" aca="1" ref="I9" ca="1">INDEX($D$4:$D$13,RANDBETWEEN(1,10))</f>
        <v>185</v>
      </c>
      <c r="J9" s="292" cm="1">
        <f t="array" aca="1" ref="J9" ca="1">INDEX($D$4:$D$13,RANDBETWEEN(1,10))</f>
        <v>220</v>
      </c>
      <c r="K9" s="292" cm="1">
        <f t="array" aca="1" ref="K9" ca="1">INDEX($D$4:$D$13,RANDBETWEEN(1,10))</f>
        <v>200</v>
      </c>
      <c r="L9" s="292" cm="1">
        <f t="array" aca="1" ref="L9" ca="1">INDEX($D$4:$D$13,RANDBETWEEN(1,10))</f>
        <v>235</v>
      </c>
      <c r="M9" s="292" cm="1">
        <f t="array" aca="1" ref="M9" ca="1">INDEX($D$4:$D$13,RANDBETWEEN(1,10))</f>
        <v>235</v>
      </c>
      <c r="N9" s="292" cm="1">
        <f t="array" aca="1" ref="N9" ca="1">INDEX($D$4:$D$13,RANDBETWEEN(1,10))</f>
        <v>225</v>
      </c>
      <c r="O9" s="292" cm="1">
        <f t="array" aca="1" ref="O9" ca="1">INDEX($D$4:$D$13,RANDBETWEEN(1,10))</f>
        <v>200</v>
      </c>
      <c r="P9" s="292" cm="1">
        <f t="array" aca="1" ref="P9" ca="1">INDEX($D$4:$D$13,RANDBETWEEN(1,10))</f>
        <v>210</v>
      </c>
      <c r="Q9" s="292" cm="1">
        <f t="array" aca="1" ref="Q9" ca="1">INDEX($D$4:$D$13,RANDBETWEEN(1,10))</f>
        <v>185</v>
      </c>
      <c r="R9" s="292" cm="1">
        <f t="array" aca="1" ref="R9" ca="1">INDEX($D$4:$D$13,RANDBETWEEN(1,10))</f>
        <v>225</v>
      </c>
      <c r="S9" s="292" cm="1">
        <f t="array" aca="1" ref="S9" ca="1">INDEX($D$4:$D$13,RANDBETWEEN(1,10))</f>
        <v>245</v>
      </c>
      <c r="T9" s="292" cm="1">
        <f t="array" aca="1" ref="T9" ca="1">INDEX($D$4:$D$13,RANDBETWEEN(1,10))</f>
        <v>220</v>
      </c>
      <c r="U9" s="292" cm="1">
        <f t="array" aca="1" ref="U9" ca="1">INDEX($D$4:$D$13,RANDBETWEEN(1,10))</f>
        <v>245</v>
      </c>
      <c r="V9" s="292" cm="1">
        <f t="array" aca="1" ref="V9" ca="1">INDEX($D$4:$D$13,RANDBETWEEN(1,10))</f>
        <v>225</v>
      </c>
      <c r="W9" s="292" cm="1">
        <f t="array" aca="1" ref="W9" ca="1">INDEX($D$4:$D$13,RANDBETWEEN(1,10))</f>
        <v>190</v>
      </c>
      <c r="X9" s="292" cm="1">
        <f t="array" aca="1" ref="X9" ca="1">INDEX($D$4:$D$13,RANDBETWEEN(1,10))</f>
        <v>245</v>
      </c>
      <c r="Y9" s="292" cm="1">
        <f t="array" aca="1" ref="Y9" ca="1">INDEX($D$4:$D$13,RANDBETWEEN(1,10))</f>
        <v>185</v>
      </c>
      <c r="Z9" s="292" cm="1">
        <f t="array" aca="1" ref="Z9" ca="1">INDEX($D$4:$D$13,RANDBETWEEN(1,10))</f>
        <v>190</v>
      </c>
      <c r="AA9" s="292" cm="1">
        <f t="array" aca="1" ref="AA9" ca="1">INDEX($D$4:$D$13,RANDBETWEEN(1,10))</f>
        <v>260</v>
      </c>
      <c r="AB9" s="315"/>
      <c r="AC9" s="1"/>
      <c r="AD9" s="5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</row>
    <row r="10" spans="3:73" x14ac:dyDescent="0.2">
      <c r="D10" s="17">
        <v>185</v>
      </c>
      <c r="G10" s="315"/>
      <c r="H10" s="292" cm="1">
        <f t="array" aca="1" ref="H10" ca="1">INDEX($D$4:$D$13,RANDBETWEEN(1,10))</f>
        <v>260</v>
      </c>
      <c r="I10" s="292" cm="1">
        <f t="array" aca="1" ref="I10" ca="1">INDEX($D$4:$D$13,RANDBETWEEN(1,10))</f>
        <v>190</v>
      </c>
      <c r="J10" s="292" cm="1">
        <f t="array" aca="1" ref="J10" ca="1">INDEX($D$4:$D$13,RANDBETWEEN(1,10))</f>
        <v>185</v>
      </c>
      <c r="K10" s="292" cm="1">
        <f t="array" aca="1" ref="K10" ca="1">INDEX($D$4:$D$13,RANDBETWEEN(1,10))</f>
        <v>200</v>
      </c>
      <c r="L10" s="292" cm="1">
        <f t="array" aca="1" ref="L10" ca="1">INDEX($D$4:$D$13,RANDBETWEEN(1,10))</f>
        <v>185</v>
      </c>
      <c r="M10" s="292" cm="1">
        <f t="array" aca="1" ref="M10" ca="1">INDEX($D$4:$D$13,RANDBETWEEN(1,10))</f>
        <v>220</v>
      </c>
      <c r="N10" s="292" cm="1">
        <f t="array" aca="1" ref="N10" ca="1">INDEX($D$4:$D$13,RANDBETWEEN(1,10))</f>
        <v>260</v>
      </c>
      <c r="O10" s="292" cm="1">
        <f t="array" aca="1" ref="O10" ca="1">INDEX($D$4:$D$13,RANDBETWEEN(1,10))</f>
        <v>190</v>
      </c>
      <c r="P10" s="292" cm="1">
        <f t="array" aca="1" ref="P10" ca="1">INDEX($D$4:$D$13,RANDBETWEEN(1,10))</f>
        <v>225</v>
      </c>
      <c r="Q10" s="292" cm="1">
        <f t="array" aca="1" ref="Q10" ca="1">INDEX($D$4:$D$13,RANDBETWEEN(1,10))</f>
        <v>190</v>
      </c>
      <c r="R10" s="292" cm="1">
        <f t="array" aca="1" ref="R10" ca="1">INDEX($D$4:$D$13,RANDBETWEEN(1,10))</f>
        <v>220</v>
      </c>
      <c r="S10" s="292" cm="1">
        <f t="array" aca="1" ref="S10" ca="1">INDEX($D$4:$D$13,RANDBETWEEN(1,10))</f>
        <v>190</v>
      </c>
      <c r="T10" s="292" cm="1">
        <f t="array" aca="1" ref="T10" ca="1">INDEX($D$4:$D$13,RANDBETWEEN(1,10))</f>
        <v>225</v>
      </c>
      <c r="U10" s="292" cm="1">
        <f t="array" aca="1" ref="U10" ca="1">INDEX($D$4:$D$13,RANDBETWEEN(1,10))</f>
        <v>190</v>
      </c>
      <c r="V10" s="292" cm="1">
        <f t="array" aca="1" ref="V10" ca="1">INDEX($D$4:$D$13,RANDBETWEEN(1,10))</f>
        <v>185</v>
      </c>
      <c r="W10" s="292" cm="1">
        <f t="array" aca="1" ref="W10" ca="1">INDEX($D$4:$D$13,RANDBETWEEN(1,10))</f>
        <v>185</v>
      </c>
      <c r="X10" s="292" cm="1">
        <f t="array" aca="1" ref="X10" ca="1">INDEX($D$4:$D$13,RANDBETWEEN(1,10))</f>
        <v>200</v>
      </c>
      <c r="Y10" s="292" cm="1">
        <f t="array" aca="1" ref="Y10" ca="1">INDEX($D$4:$D$13,RANDBETWEEN(1,10))</f>
        <v>190</v>
      </c>
      <c r="Z10" s="292" cm="1">
        <f t="array" aca="1" ref="Z10" ca="1">INDEX($D$4:$D$13,RANDBETWEEN(1,10))</f>
        <v>190</v>
      </c>
      <c r="AA10" s="292" cm="1">
        <f t="array" aca="1" ref="AA10" ca="1">INDEX($D$4:$D$13,RANDBETWEEN(1,10))</f>
        <v>200</v>
      </c>
      <c r="AB10" s="315"/>
      <c r="AC10" s="1"/>
      <c r="AD10" s="5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</row>
    <row r="11" spans="3:73" x14ac:dyDescent="0.2">
      <c r="D11" s="17">
        <v>245</v>
      </c>
      <c r="G11" s="315"/>
      <c r="H11" s="292" cm="1">
        <f t="array" aca="1" ref="H11" ca="1">INDEX($D$4:$D$13,RANDBETWEEN(1,10))</f>
        <v>260</v>
      </c>
      <c r="I11" s="292" cm="1">
        <f t="array" aca="1" ref="I11" ca="1">INDEX($D$4:$D$13,RANDBETWEEN(1,10))</f>
        <v>220</v>
      </c>
      <c r="J11" s="292" cm="1">
        <f t="array" aca="1" ref="J11" ca="1">INDEX($D$4:$D$13,RANDBETWEEN(1,10))</f>
        <v>190</v>
      </c>
      <c r="K11" s="292" cm="1">
        <f t="array" aca="1" ref="K11" ca="1">INDEX($D$4:$D$13,RANDBETWEEN(1,10))</f>
        <v>225</v>
      </c>
      <c r="L11" s="292" cm="1">
        <f t="array" aca="1" ref="L11" ca="1">INDEX($D$4:$D$13,RANDBETWEEN(1,10))</f>
        <v>245</v>
      </c>
      <c r="M11" s="292" cm="1">
        <f t="array" aca="1" ref="M11" ca="1">INDEX($D$4:$D$13,RANDBETWEEN(1,10))</f>
        <v>210</v>
      </c>
      <c r="N11" s="292" cm="1">
        <f t="array" aca="1" ref="N11" ca="1">INDEX($D$4:$D$13,RANDBETWEEN(1,10))</f>
        <v>210</v>
      </c>
      <c r="O11" s="292" cm="1">
        <f t="array" aca="1" ref="O11" ca="1">INDEX($D$4:$D$13,RANDBETWEEN(1,10))</f>
        <v>225</v>
      </c>
      <c r="P11" s="292" cm="1">
        <f t="array" aca="1" ref="P11" ca="1">INDEX($D$4:$D$13,RANDBETWEEN(1,10))</f>
        <v>235</v>
      </c>
      <c r="Q11" s="292" cm="1">
        <f t="array" aca="1" ref="Q11" ca="1">INDEX($D$4:$D$13,RANDBETWEEN(1,10))</f>
        <v>185</v>
      </c>
      <c r="R11" s="292" cm="1">
        <f t="array" aca="1" ref="R11" ca="1">INDEX($D$4:$D$13,RANDBETWEEN(1,10))</f>
        <v>245</v>
      </c>
      <c r="S11" s="292" cm="1">
        <f t="array" aca="1" ref="S11" ca="1">INDEX($D$4:$D$13,RANDBETWEEN(1,10))</f>
        <v>225</v>
      </c>
      <c r="T11" s="292" cm="1">
        <f t="array" aca="1" ref="T11" ca="1">INDEX($D$4:$D$13,RANDBETWEEN(1,10))</f>
        <v>190</v>
      </c>
      <c r="U11" s="292" cm="1">
        <f t="array" aca="1" ref="U11" ca="1">INDEX($D$4:$D$13,RANDBETWEEN(1,10))</f>
        <v>235</v>
      </c>
      <c r="V11" s="292" cm="1">
        <f t="array" aca="1" ref="V11" ca="1">INDEX($D$4:$D$13,RANDBETWEEN(1,10))</f>
        <v>220</v>
      </c>
      <c r="W11" s="292" cm="1">
        <f t="array" aca="1" ref="W11" ca="1">INDEX($D$4:$D$13,RANDBETWEEN(1,10))</f>
        <v>190</v>
      </c>
      <c r="X11" s="292" cm="1">
        <f t="array" aca="1" ref="X11" ca="1">INDEX($D$4:$D$13,RANDBETWEEN(1,10))</f>
        <v>225</v>
      </c>
      <c r="Y11" s="292" cm="1">
        <f t="array" aca="1" ref="Y11" ca="1">INDEX($D$4:$D$13,RANDBETWEEN(1,10))</f>
        <v>220</v>
      </c>
      <c r="Z11" s="292" cm="1">
        <f t="array" aca="1" ref="Z11" ca="1">INDEX($D$4:$D$13,RANDBETWEEN(1,10))</f>
        <v>190</v>
      </c>
      <c r="AA11" s="292" cm="1">
        <f t="array" aca="1" ref="AA11" ca="1">INDEX($D$4:$D$13,RANDBETWEEN(1,10))</f>
        <v>220</v>
      </c>
      <c r="AB11" s="315"/>
      <c r="AC11" s="1"/>
      <c r="AD11" s="5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</row>
    <row r="12" spans="3:73" x14ac:dyDescent="0.2">
      <c r="D12" s="17">
        <v>225</v>
      </c>
      <c r="G12" s="315"/>
      <c r="H12" s="292" cm="1">
        <f t="array" aca="1" ref="H12" ca="1">INDEX($D$4:$D$13,RANDBETWEEN(1,10))</f>
        <v>185</v>
      </c>
      <c r="I12" s="292" cm="1">
        <f t="array" aca="1" ref="I12" ca="1">INDEX($D$4:$D$13,RANDBETWEEN(1,10))</f>
        <v>220</v>
      </c>
      <c r="J12" s="292" cm="1">
        <f t="array" aca="1" ref="J12" ca="1">INDEX($D$4:$D$13,RANDBETWEEN(1,10))</f>
        <v>260</v>
      </c>
      <c r="K12" s="292" cm="1">
        <f t="array" aca="1" ref="K12" ca="1">INDEX($D$4:$D$13,RANDBETWEEN(1,10))</f>
        <v>210</v>
      </c>
      <c r="L12" s="292" cm="1">
        <f t="array" aca="1" ref="L12" ca="1">INDEX($D$4:$D$13,RANDBETWEEN(1,10))</f>
        <v>190</v>
      </c>
      <c r="M12" s="292" cm="1">
        <f t="array" aca="1" ref="M12" ca="1">INDEX($D$4:$D$13,RANDBETWEEN(1,10))</f>
        <v>210</v>
      </c>
      <c r="N12" s="292" cm="1">
        <f t="array" aca="1" ref="N12" ca="1">INDEX($D$4:$D$13,RANDBETWEEN(1,10))</f>
        <v>200</v>
      </c>
      <c r="O12" s="292" cm="1">
        <f t="array" aca="1" ref="O12" ca="1">INDEX($D$4:$D$13,RANDBETWEEN(1,10))</f>
        <v>220</v>
      </c>
      <c r="P12" s="292" cm="1">
        <f t="array" aca="1" ref="P12" ca="1">INDEX($D$4:$D$13,RANDBETWEEN(1,10))</f>
        <v>190</v>
      </c>
      <c r="Q12" s="292" cm="1">
        <f t="array" aca="1" ref="Q12" ca="1">INDEX($D$4:$D$13,RANDBETWEEN(1,10))</f>
        <v>235</v>
      </c>
      <c r="R12" s="292" cm="1">
        <f t="array" aca="1" ref="R12" ca="1">INDEX($D$4:$D$13,RANDBETWEEN(1,10))</f>
        <v>260</v>
      </c>
      <c r="S12" s="292" cm="1">
        <f t="array" aca="1" ref="S12" ca="1">INDEX($D$4:$D$13,RANDBETWEEN(1,10))</f>
        <v>190</v>
      </c>
      <c r="T12" s="292" cm="1">
        <f t="array" aca="1" ref="T12" ca="1">INDEX($D$4:$D$13,RANDBETWEEN(1,10))</f>
        <v>210</v>
      </c>
      <c r="U12" s="292" cm="1">
        <f t="array" aca="1" ref="U12" ca="1">INDEX($D$4:$D$13,RANDBETWEEN(1,10))</f>
        <v>225</v>
      </c>
      <c r="V12" s="292" cm="1">
        <f t="array" aca="1" ref="V12" ca="1">INDEX($D$4:$D$13,RANDBETWEEN(1,10))</f>
        <v>190</v>
      </c>
      <c r="W12" s="292" cm="1">
        <f t="array" aca="1" ref="W12" ca="1">INDEX($D$4:$D$13,RANDBETWEEN(1,10))</f>
        <v>190</v>
      </c>
      <c r="X12" s="292" cm="1">
        <f t="array" aca="1" ref="X12" ca="1">INDEX($D$4:$D$13,RANDBETWEEN(1,10))</f>
        <v>245</v>
      </c>
      <c r="Y12" s="292" cm="1">
        <f t="array" aca="1" ref="Y12" ca="1">INDEX($D$4:$D$13,RANDBETWEEN(1,10))</f>
        <v>220</v>
      </c>
      <c r="Z12" s="292" cm="1">
        <f t="array" aca="1" ref="Z12" ca="1">INDEX($D$4:$D$13,RANDBETWEEN(1,10))</f>
        <v>220</v>
      </c>
      <c r="AA12" s="292" cm="1">
        <f t="array" aca="1" ref="AA12" ca="1">INDEX($D$4:$D$13,RANDBETWEEN(1,10))</f>
        <v>190</v>
      </c>
      <c r="AB12" s="315"/>
      <c r="AC12" s="1"/>
      <c r="AD12" s="5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</row>
    <row r="13" spans="3:73" x14ac:dyDescent="0.2">
      <c r="D13" s="159">
        <v>190</v>
      </c>
      <c r="G13" s="315"/>
      <c r="H13" s="292" cm="1">
        <f t="array" aca="1" ref="H13" ca="1">INDEX($D$4:$D$13,RANDBETWEEN(1,10))</f>
        <v>225</v>
      </c>
      <c r="I13" s="292" cm="1">
        <f t="array" aca="1" ref="I13" ca="1">INDEX($D$4:$D$13,RANDBETWEEN(1,10))</f>
        <v>220</v>
      </c>
      <c r="J13" s="292" cm="1">
        <f t="array" aca="1" ref="J13" ca="1">INDEX($D$4:$D$13,RANDBETWEEN(1,10))</f>
        <v>190</v>
      </c>
      <c r="K13" s="292" cm="1">
        <f t="array" aca="1" ref="K13" ca="1">INDEX($D$4:$D$13,RANDBETWEEN(1,10))</f>
        <v>190</v>
      </c>
      <c r="L13" s="292" cm="1">
        <f t="array" aca="1" ref="L13" ca="1">INDEX($D$4:$D$13,RANDBETWEEN(1,10))</f>
        <v>200</v>
      </c>
      <c r="M13" s="292" cm="1">
        <f t="array" aca="1" ref="M13" ca="1">INDEX($D$4:$D$13,RANDBETWEEN(1,10))</f>
        <v>200</v>
      </c>
      <c r="N13" s="292" cm="1">
        <f t="array" aca="1" ref="N13" ca="1">INDEX($D$4:$D$13,RANDBETWEEN(1,10))</f>
        <v>210</v>
      </c>
      <c r="O13" s="292" cm="1">
        <f t="array" aca="1" ref="O13" ca="1">INDEX($D$4:$D$13,RANDBETWEEN(1,10))</f>
        <v>190</v>
      </c>
      <c r="P13" s="292" cm="1">
        <f t="array" aca="1" ref="P13" ca="1">INDEX($D$4:$D$13,RANDBETWEEN(1,10))</f>
        <v>190</v>
      </c>
      <c r="Q13" s="292" cm="1">
        <f t="array" aca="1" ref="Q13" ca="1">INDEX($D$4:$D$13,RANDBETWEEN(1,10))</f>
        <v>190</v>
      </c>
      <c r="R13" s="292" cm="1">
        <f t="array" aca="1" ref="R13" ca="1">INDEX($D$4:$D$13,RANDBETWEEN(1,10))</f>
        <v>190</v>
      </c>
      <c r="S13" s="292" cm="1">
        <f t="array" aca="1" ref="S13" ca="1">INDEX($D$4:$D$13,RANDBETWEEN(1,10))</f>
        <v>235</v>
      </c>
      <c r="T13" s="292" cm="1">
        <f t="array" aca="1" ref="T13" ca="1">INDEX($D$4:$D$13,RANDBETWEEN(1,10))</f>
        <v>190</v>
      </c>
      <c r="U13" s="292" cm="1">
        <f t="array" aca="1" ref="U13" ca="1">INDEX($D$4:$D$13,RANDBETWEEN(1,10))</f>
        <v>225</v>
      </c>
      <c r="V13" s="292" cm="1">
        <f t="array" aca="1" ref="V13" ca="1">INDEX($D$4:$D$13,RANDBETWEEN(1,10))</f>
        <v>210</v>
      </c>
      <c r="W13" s="292" cm="1">
        <f t="array" aca="1" ref="W13" ca="1">INDEX($D$4:$D$13,RANDBETWEEN(1,10))</f>
        <v>210</v>
      </c>
      <c r="X13" s="292" cm="1">
        <f t="array" aca="1" ref="X13" ca="1">INDEX($D$4:$D$13,RANDBETWEEN(1,10))</f>
        <v>190</v>
      </c>
      <c r="Y13" s="292" cm="1">
        <f t="array" aca="1" ref="Y13" ca="1">INDEX($D$4:$D$13,RANDBETWEEN(1,10))</f>
        <v>225</v>
      </c>
      <c r="Z13" s="292" cm="1">
        <f t="array" aca="1" ref="Z13" ca="1">INDEX($D$4:$D$13,RANDBETWEEN(1,10))</f>
        <v>200</v>
      </c>
      <c r="AA13" s="292" cm="1">
        <f t="array" aca="1" ref="AA13" ca="1">INDEX($D$4:$D$13,RANDBETWEEN(1,10))</f>
        <v>220</v>
      </c>
      <c r="AB13" s="315"/>
      <c r="AC13" s="1"/>
      <c r="AD13" s="5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</row>
    <row r="14" spans="3:73" x14ac:dyDescent="0.2">
      <c r="C14" s="91" t="s">
        <v>221</v>
      </c>
      <c r="D14" s="320">
        <f>AVERAGE(D4:D13)</f>
        <v>216</v>
      </c>
      <c r="G14" s="315"/>
      <c r="H14" s="321">
        <f ca="1">AVERAGE(H4:H13)</f>
        <v>226</v>
      </c>
      <c r="I14" s="321">
        <f t="shared" ref="I14:AA14" ca="1" si="0">AVERAGE(I4:I13)</f>
        <v>215</v>
      </c>
      <c r="J14" s="321">
        <f t="shared" ca="1" si="0"/>
        <v>207.5</v>
      </c>
      <c r="K14" s="321">
        <f t="shared" ca="1" si="0"/>
        <v>214</v>
      </c>
      <c r="L14" s="321">
        <f t="shared" ca="1" si="0"/>
        <v>215</v>
      </c>
      <c r="M14" s="321">
        <f t="shared" ca="1" si="0"/>
        <v>213</v>
      </c>
      <c r="N14" s="321">
        <f t="shared" ca="1" si="0"/>
        <v>226</v>
      </c>
      <c r="O14" s="321">
        <f t="shared" ca="1" si="0"/>
        <v>210.5</v>
      </c>
      <c r="P14" s="321">
        <f t="shared" ca="1" si="0"/>
        <v>204</v>
      </c>
      <c r="Q14" s="321">
        <f t="shared" ca="1" si="0"/>
        <v>198</v>
      </c>
      <c r="R14" s="321">
        <f t="shared" ca="1" si="0"/>
        <v>231.5</v>
      </c>
      <c r="S14" s="321">
        <f t="shared" ca="1" si="0"/>
        <v>221</v>
      </c>
      <c r="T14" s="321">
        <f t="shared" ca="1" si="0"/>
        <v>206</v>
      </c>
      <c r="U14" s="321">
        <f t="shared" ca="1" si="0"/>
        <v>216.5</v>
      </c>
      <c r="V14" s="321">
        <f t="shared" ca="1" si="0"/>
        <v>217</v>
      </c>
      <c r="W14" s="321">
        <f t="shared" ca="1" si="0"/>
        <v>196.5</v>
      </c>
      <c r="X14" s="321">
        <f t="shared" ca="1" si="0"/>
        <v>216</v>
      </c>
      <c r="Y14" s="321">
        <f t="shared" ca="1" si="0"/>
        <v>212</v>
      </c>
      <c r="Z14" s="321">
        <f t="shared" ca="1" si="0"/>
        <v>207.5</v>
      </c>
      <c r="AA14" s="321">
        <f t="shared" ca="1" si="0"/>
        <v>220.5</v>
      </c>
      <c r="AB14" s="315"/>
      <c r="AC14" s="1"/>
      <c r="AD14" s="5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</row>
    <row r="15" spans="3:73" x14ac:dyDescent="0.2">
      <c r="D15" s="315"/>
      <c r="F15" s="322"/>
      <c r="G15" s="31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315"/>
      <c r="AC15" s="1"/>
      <c r="AD15" s="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</row>
    <row r="16" spans="3:73" x14ac:dyDescent="0.2">
      <c r="C16" s="91"/>
      <c r="D16" s="322"/>
      <c r="E16" s="322"/>
      <c r="F16" s="322"/>
      <c r="G16" s="31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315"/>
      <c r="AC16" s="1"/>
      <c r="AD16" s="5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</row>
    <row r="17" spans="2:73" x14ac:dyDescent="0.2">
      <c r="D17" s="323"/>
      <c r="E17" s="324"/>
      <c r="F17" s="324"/>
      <c r="G17" s="325"/>
      <c r="H17" s="292">
        <v>1</v>
      </c>
      <c r="I17" s="292">
        <v>2</v>
      </c>
      <c r="J17" s="292">
        <v>3</v>
      </c>
      <c r="K17" s="292">
        <v>4</v>
      </c>
      <c r="L17" s="292">
        <v>5</v>
      </c>
      <c r="M17" s="292">
        <v>6</v>
      </c>
      <c r="N17" s="292">
        <v>7</v>
      </c>
      <c r="O17" s="292">
        <v>8</v>
      </c>
      <c r="P17" s="292">
        <v>9</v>
      </c>
      <c r="Q17" s="292">
        <v>10</v>
      </c>
      <c r="R17" s="292">
        <v>11</v>
      </c>
      <c r="S17" s="292">
        <v>12</v>
      </c>
      <c r="T17" s="292">
        <v>13</v>
      </c>
      <c r="U17" s="292">
        <v>14</v>
      </c>
      <c r="V17" s="292">
        <v>15</v>
      </c>
      <c r="W17" s="292">
        <v>16</v>
      </c>
      <c r="X17" s="292">
        <v>17</v>
      </c>
      <c r="Y17" s="292">
        <v>18</v>
      </c>
      <c r="Z17" s="292">
        <v>19</v>
      </c>
      <c r="AA17" s="292">
        <v>20</v>
      </c>
      <c r="AB17" s="315"/>
      <c r="AC17" s="1"/>
      <c r="AD17" s="5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</row>
    <row r="18" spans="2:73" x14ac:dyDescent="0.2">
      <c r="C18" s="326"/>
      <c r="D18" s="327"/>
      <c r="E18" s="328"/>
      <c r="F18" s="328"/>
      <c r="G18" s="27" t="s">
        <v>222</v>
      </c>
      <c r="H18" s="321">
        <f ca="1">SMALL($H$14:$AA$14,H17)</f>
        <v>196.5</v>
      </c>
      <c r="I18" s="321">
        <f t="shared" ref="I18:AA18" ca="1" si="1">SMALL($H$14:$AA$14,I17)</f>
        <v>198</v>
      </c>
      <c r="J18" s="321">
        <f t="shared" ca="1" si="1"/>
        <v>204</v>
      </c>
      <c r="K18" s="321">
        <f t="shared" ca="1" si="1"/>
        <v>206</v>
      </c>
      <c r="L18" s="321">
        <f t="shared" ca="1" si="1"/>
        <v>207.5</v>
      </c>
      <c r="M18" s="321">
        <f t="shared" ca="1" si="1"/>
        <v>207.5</v>
      </c>
      <c r="N18" s="321">
        <f t="shared" ca="1" si="1"/>
        <v>210.5</v>
      </c>
      <c r="O18" s="321">
        <f t="shared" ca="1" si="1"/>
        <v>212</v>
      </c>
      <c r="P18" s="321">
        <f t="shared" ca="1" si="1"/>
        <v>213</v>
      </c>
      <c r="Q18" s="321">
        <f t="shared" ca="1" si="1"/>
        <v>214</v>
      </c>
      <c r="R18" s="321">
        <f t="shared" ca="1" si="1"/>
        <v>215</v>
      </c>
      <c r="S18" s="321">
        <f t="shared" ca="1" si="1"/>
        <v>215</v>
      </c>
      <c r="T18" s="321">
        <f t="shared" ca="1" si="1"/>
        <v>216</v>
      </c>
      <c r="U18" s="321">
        <f t="shared" ca="1" si="1"/>
        <v>216.5</v>
      </c>
      <c r="V18" s="321">
        <f t="shared" ca="1" si="1"/>
        <v>217</v>
      </c>
      <c r="W18" s="321">
        <f t="shared" ca="1" si="1"/>
        <v>220.5</v>
      </c>
      <c r="X18" s="321">
        <f t="shared" ca="1" si="1"/>
        <v>221</v>
      </c>
      <c r="Y18" s="321">
        <f t="shared" ca="1" si="1"/>
        <v>226</v>
      </c>
      <c r="Z18" s="428">
        <f t="shared" ca="1" si="1"/>
        <v>226</v>
      </c>
      <c r="AA18" s="321">
        <f t="shared" ca="1" si="1"/>
        <v>231.5</v>
      </c>
      <c r="AB18" s="315"/>
      <c r="AC18" s="1"/>
      <c r="AD18" s="5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</row>
    <row r="19" spans="2:73" x14ac:dyDescent="0.2">
      <c r="E19" s="315"/>
      <c r="F19" s="315"/>
      <c r="G19" s="315"/>
      <c r="H19" s="315"/>
      <c r="I19" s="315"/>
      <c r="J19" s="315"/>
      <c r="K19" s="315"/>
      <c r="L19" s="315"/>
      <c r="M19" s="315"/>
      <c r="N19" s="315"/>
      <c r="O19" s="315"/>
      <c r="P19" s="315"/>
      <c r="Q19" s="315"/>
      <c r="R19" s="315"/>
      <c r="S19" s="315"/>
      <c r="T19" s="315"/>
      <c r="U19" s="315"/>
      <c r="V19" s="315"/>
      <c r="W19" s="315"/>
      <c r="X19" s="315"/>
      <c r="Y19" s="315"/>
      <c r="Z19" s="315"/>
      <c r="AA19" s="315"/>
      <c r="AB19" s="315"/>
      <c r="AC19" s="1"/>
      <c r="AD19" s="5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</row>
    <row r="20" spans="2:73" x14ac:dyDescent="0.2">
      <c r="G20" s="315"/>
      <c r="H20" s="315"/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  <c r="AB20" s="315"/>
      <c r="AC20" s="1"/>
      <c r="AD20" s="5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</row>
    <row r="21" spans="2:73" x14ac:dyDescent="0.2"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</row>
    <row r="22" spans="2:73" x14ac:dyDescent="0.2"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</row>
    <row r="23" spans="2:73" x14ac:dyDescent="0.2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</row>
    <row r="24" spans="2:73" x14ac:dyDescent="0.2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</row>
    <row r="25" spans="2:73" x14ac:dyDescent="0.2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</row>
    <row r="26" spans="2:73" x14ac:dyDescent="0.2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</row>
    <row r="27" spans="2:73" x14ac:dyDescent="0.2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2:73" x14ac:dyDescent="0.2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2:73" x14ac:dyDescent="0.2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</row>
    <row r="30" spans="2:73" x14ac:dyDescent="0.2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</row>
    <row r="31" spans="2:73" x14ac:dyDescent="0.2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</row>
    <row r="32" spans="2:73" x14ac:dyDescent="0.2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</row>
    <row r="33" spans="2:73" x14ac:dyDescent="0.2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</row>
    <row r="34" spans="2:73" x14ac:dyDescent="0.2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</row>
    <row r="35" spans="2:73" x14ac:dyDescent="0.2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2:73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</row>
    <row r="37" spans="2:73" x14ac:dyDescent="0.2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</row>
    <row r="38" spans="2:73" x14ac:dyDescent="0.2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</row>
    <row r="39" spans="2:73" x14ac:dyDescent="0.2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</row>
    <row r="40" spans="2:73" x14ac:dyDescent="0.2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</row>
    <row r="41" spans="2:73" x14ac:dyDescent="0.2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</row>
    <row r="42" spans="2:73" x14ac:dyDescent="0.2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</row>
    <row r="43" spans="2:73" x14ac:dyDescent="0.2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</row>
    <row r="44" spans="2:73" x14ac:dyDescent="0.2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</row>
    <row r="45" spans="2:73" x14ac:dyDescent="0.2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</row>
    <row r="46" spans="2:73" x14ac:dyDescent="0.2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</row>
    <row r="47" spans="2:73" x14ac:dyDescent="0.2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</row>
    <row r="48" spans="2:73" x14ac:dyDescent="0.2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</row>
    <row r="49" spans="2:73" x14ac:dyDescent="0.2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</row>
    <row r="50" spans="2:73" x14ac:dyDescent="0.2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</row>
    <row r="51" spans="2:73" x14ac:dyDescent="0.2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</row>
    <row r="52" spans="2:73" x14ac:dyDescent="0.2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</row>
    <row r="53" spans="2:73" x14ac:dyDescent="0.2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</row>
    <row r="54" spans="2:73" x14ac:dyDescent="0.2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</row>
    <row r="55" spans="2:73" x14ac:dyDescent="0.2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</row>
    <row r="56" spans="2:73" x14ac:dyDescent="0.2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</row>
    <row r="57" spans="2:73" x14ac:dyDescent="0.2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</row>
    <row r="58" spans="2:73" x14ac:dyDescent="0.2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</row>
    <row r="59" spans="2:73" x14ac:dyDescent="0.2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</row>
    <row r="60" spans="2:73" x14ac:dyDescent="0.2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</row>
    <row r="61" spans="2:73" x14ac:dyDescent="0.2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</row>
    <row r="62" spans="2:73" x14ac:dyDescent="0.2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</row>
    <row r="63" spans="2:73" x14ac:dyDescent="0.2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</row>
    <row r="64" spans="2:73" x14ac:dyDescent="0.2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</row>
    <row r="65" spans="2:73" x14ac:dyDescent="0.2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</row>
    <row r="66" spans="2:73" x14ac:dyDescent="0.2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</row>
    <row r="67" spans="2:73" x14ac:dyDescent="0.2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</row>
    <row r="68" spans="2:73" x14ac:dyDescent="0.2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</row>
    <row r="69" spans="2:73" x14ac:dyDescent="0.2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</row>
    <row r="70" spans="2:73" x14ac:dyDescent="0.2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</row>
    <row r="71" spans="2:73" x14ac:dyDescent="0.2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</row>
    <row r="72" spans="2:73" x14ac:dyDescent="0.2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</row>
    <row r="73" spans="2:73" x14ac:dyDescent="0.2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</row>
    <row r="74" spans="2:73" x14ac:dyDescent="0.2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</row>
    <row r="75" spans="2:73" x14ac:dyDescent="0.2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</row>
    <row r="76" spans="2:73" x14ac:dyDescent="0.2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</row>
    <row r="77" spans="2:73" x14ac:dyDescent="0.2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</row>
    <row r="78" spans="2:73" x14ac:dyDescent="0.2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</row>
    <row r="79" spans="2:73" x14ac:dyDescent="0.2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</row>
    <row r="80" spans="2:73" x14ac:dyDescent="0.2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</row>
    <row r="81" spans="2:73" x14ac:dyDescent="0.2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</row>
    <row r="82" spans="2:73" x14ac:dyDescent="0.2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</row>
    <row r="83" spans="2:73" x14ac:dyDescent="0.2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</row>
    <row r="84" spans="2:73" x14ac:dyDescent="0.2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</row>
    <row r="85" spans="2:73" x14ac:dyDescent="0.2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</row>
    <row r="86" spans="2:73" x14ac:dyDescent="0.2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</row>
    <row r="87" spans="2:73" x14ac:dyDescent="0.2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</row>
    <row r="88" spans="2:73" x14ac:dyDescent="0.2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</row>
    <row r="89" spans="2:73" x14ac:dyDescent="0.2"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</row>
    <row r="90" spans="2:73" x14ac:dyDescent="0.2"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</row>
    <row r="91" spans="2:73" x14ac:dyDescent="0.2"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</row>
    <row r="92" spans="2:73" x14ac:dyDescent="0.2"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</row>
    <row r="93" spans="2:73" x14ac:dyDescent="0.2"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</row>
    <row r="94" spans="2:73" x14ac:dyDescent="0.2"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</row>
    <row r="95" spans="2:73" x14ac:dyDescent="0.2"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</row>
    <row r="96" spans="2:73" x14ac:dyDescent="0.2"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</row>
    <row r="97" spans="30:73" x14ac:dyDescent="0.2"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</row>
    <row r="98" spans="30:73" x14ac:dyDescent="0.2"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</row>
    <row r="99" spans="30:73" x14ac:dyDescent="0.2"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</row>
    <row r="100" spans="30:73" x14ac:dyDescent="0.2"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</row>
    <row r="101" spans="30:73" x14ac:dyDescent="0.2"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</row>
    <row r="102" spans="30:73" x14ac:dyDescent="0.2"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</row>
    <row r="103" spans="30:73" x14ac:dyDescent="0.2"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</row>
    <row r="104" spans="30:73" x14ac:dyDescent="0.2"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</row>
    <row r="105" spans="30:73" x14ac:dyDescent="0.2"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</row>
    <row r="106" spans="30:73" x14ac:dyDescent="0.2"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</row>
    <row r="107" spans="30:73" x14ac:dyDescent="0.2"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</row>
    <row r="108" spans="30:73" x14ac:dyDescent="0.2"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</row>
    <row r="109" spans="30:73" x14ac:dyDescent="0.2"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</row>
    <row r="110" spans="30:73" x14ac:dyDescent="0.2"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</row>
    <row r="111" spans="30:73" x14ac:dyDescent="0.2"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</row>
    <row r="112" spans="30:73" x14ac:dyDescent="0.2"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</row>
    <row r="113" spans="30:73" x14ac:dyDescent="0.2"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</row>
    <row r="114" spans="30:73" x14ac:dyDescent="0.2"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</row>
    <row r="115" spans="30:73" x14ac:dyDescent="0.2"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</row>
    <row r="116" spans="30:73" x14ac:dyDescent="0.2"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</row>
    <row r="117" spans="30:73" x14ac:dyDescent="0.2"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</row>
    <row r="118" spans="30:73" x14ac:dyDescent="0.2"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</row>
    <row r="119" spans="30:73" x14ac:dyDescent="0.2"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</row>
    <row r="120" spans="30:73" x14ac:dyDescent="0.2"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</row>
    <row r="121" spans="30:73" x14ac:dyDescent="0.2"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</row>
    <row r="122" spans="30:73" x14ac:dyDescent="0.2"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</row>
    <row r="123" spans="30:73" x14ac:dyDescent="0.2"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</row>
    <row r="124" spans="30:73" x14ac:dyDescent="0.2"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</row>
    <row r="125" spans="30:73" x14ac:dyDescent="0.2"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</row>
    <row r="126" spans="30:73" x14ac:dyDescent="0.2"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</row>
    <row r="127" spans="30:73" x14ac:dyDescent="0.2"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</row>
    <row r="128" spans="30:73" x14ac:dyDescent="0.2"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</row>
    <row r="129" spans="30:73" x14ac:dyDescent="0.2"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</row>
    <row r="130" spans="30:73" x14ac:dyDescent="0.2"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</row>
    <row r="131" spans="30:73" x14ac:dyDescent="0.2"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</row>
    <row r="132" spans="30:73" x14ac:dyDescent="0.2"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</row>
    <row r="133" spans="30:73" x14ac:dyDescent="0.2"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</row>
    <row r="134" spans="30:73" x14ac:dyDescent="0.2"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</row>
    <row r="135" spans="30:73" x14ac:dyDescent="0.2"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</row>
    <row r="136" spans="30:73" x14ac:dyDescent="0.2"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</row>
    <row r="137" spans="30:73" x14ac:dyDescent="0.2"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</row>
    <row r="138" spans="30:73" x14ac:dyDescent="0.2"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</row>
    <row r="139" spans="30:73" x14ac:dyDescent="0.2"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</row>
    <row r="140" spans="30:73" x14ac:dyDescent="0.2"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</row>
    <row r="141" spans="30:73" x14ac:dyDescent="0.2"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</row>
    <row r="142" spans="30:73" x14ac:dyDescent="0.2"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</row>
    <row r="143" spans="30:73" x14ac:dyDescent="0.2"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</row>
    <row r="144" spans="30:73" x14ac:dyDescent="0.2"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</row>
    <row r="145" spans="30:73" x14ac:dyDescent="0.2"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</row>
    <row r="146" spans="30:73" x14ac:dyDescent="0.2"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</row>
    <row r="147" spans="30:73" x14ac:dyDescent="0.2"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</row>
    <row r="148" spans="30:73" x14ac:dyDescent="0.2"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</row>
    <row r="149" spans="30:73" x14ac:dyDescent="0.2"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</row>
    <row r="150" spans="30:73" x14ac:dyDescent="0.2"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</row>
    <row r="151" spans="30:73" x14ac:dyDescent="0.2"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</row>
    <row r="152" spans="30:73" x14ac:dyDescent="0.2"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</row>
    <row r="153" spans="30:73" x14ac:dyDescent="0.2"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</row>
    <row r="154" spans="30:73" x14ac:dyDescent="0.2"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</row>
    <row r="155" spans="30:73" x14ac:dyDescent="0.2"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</row>
    <row r="156" spans="30:73" x14ac:dyDescent="0.2"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</row>
    <row r="157" spans="30:73" x14ac:dyDescent="0.2"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</row>
    <row r="158" spans="30:73" x14ac:dyDescent="0.2"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</row>
    <row r="159" spans="30:73" x14ac:dyDescent="0.2"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</row>
    <row r="160" spans="30:73" x14ac:dyDescent="0.2"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</row>
    <row r="161" spans="30:73" x14ac:dyDescent="0.2"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</row>
    <row r="162" spans="30:73" x14ac:dyDescent="0.2"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</row>
    <row r="163" spans="30:73" x14ac:dyDescent="0.2"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</row>
    <row r="164" spans="30:73" x14ac:dyDescent="0.2"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</row>
    <row r="165" spans="30:73" x14ac:dyDescent="0.2"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</row>
    <row r="166" spans="30:73" x14ac:dyDescent="0.2"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</row>
    <row r="167" spans="30:73" x14ac:dyDescent="0.2"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</row>
    <row r="168" spans="30:73" x14ac:dyDescent="0.2"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</row>
    <row r="169" spans="30:73" x14ac:dyDescent="0.2"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</row>
    <row r="170" spans="30:73" x14ac:dyDescent="0.2"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</row>
    <row r="171" spans="30:73" x14ac:dyDescent="0.2"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</row>
    <row r="172" spans="30:73" x14ac:dyDescent="0.2"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</row>
    <row r="173" spans="30:73" x14ac:dyDescent="0.2"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</row>
    <row r="174" spans="30:73" x14ac:dyDescent="0.2"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</row>
  </sheetData>
  <pageMargins left="0.7" right="0.7" top="0.75" bottom="0.75" header="0.3" footer="0.3"/>
  <pageSetup paperSize="9" orientation="portrait" r:id="rId1"/>
  <picture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1D81B-7E42-4D0D-87EE-54B65E997BEF}">
  <sheetPr codeName="Sheet15"/>
  <dimension ref="A1:T49"/>
  <sheetViews>
    <sheetView tabSelected="1" zoomScale="114" zoomScaleNormal="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T28" sqref="T28"/>
    </sheetView>
  </sheetViews>
  <sheetFormatPr baseColWidth="10" defaultColWidth="8.83203125" defaultRowHeight="15" x14ac:dyDescent="0.2"/>
  <cols>
    <col min="1" max="1" width="3.33203125" style="348" customWidth="1"/>
    <col min="2" max="2" width="4.33203125" customWidth="1"/>
    <col min="3" max="3" width="16" customWidth="1"/>
    <col min="4" max="4" width="15.6640625" customWidth="1"/>
    <col min="5" max="5" width="16.6640625" customWidth="1"/>
    <col min="6" max="6" width="18" customWidth="1"/>
  </cols>
  <sheetData>
    <row r="1" spans="2:15" s="348" customFormat="1" x14ac:dyDescent="0.2"/>
    <row r="2" spans="2:15" x14ac:dyDescent="0.2">
      <c r="B2" s="17"/>
      <c r="C2" s="17"/>
      <c r="D2" s="17"/>
      <c r="E2" s="17"/>
      <c r="F2" s="17"/>
      <c r="G2" s="18"/>
    </row>
    <row r="3" spans="2:15" x14ac:dyDescent="0.2">
      <c r="B3" s="17"/>
      <c r="C3" s="27" t="s">
        <v>223</v>
      </c>
      <c r="D3" s="1"/>
      <c r="E3" s="1"/>
      <c r="F3" s="1"/>
      <c r="G3" s="3"/>
      <c r="J3" s="5"/>
      <c r="K3" s="5"/>
      <c r="L3" s="5"/>
      <c r="M3" s="5"/>
      <c r="N3" s="5"/>
      <c r="O3" s="5"/>
    </row>
    <row r="4" spans="2:15" ht="14.25" customHeight="1" x14ac:dyDescent="0.2">
      <c r="B4" s="17"/>
      <c r="C4" s="431" t="s">
        <v>224</v>
      </c>
      <c r="D4" s="431"/>
      <c r="E4" s="431"/>
      <c r="F4" s="49">
        <v>40</v>
      </c>
      <c r="G4" s="3"/>
      <c r="H4" s="16"/>
      <c r="J4" s="5"/>
      <c r="K4" s="5"/>
      <c r="L4" s="5"/>
      <c r="M4" s="5"/>
      <c r="N4" s="5"/>
      <c r="O4" s="5"/>
    </row>
    <row r="5" spans="2:15" x14ac:dyDescent="0.2">
      <c r="B5" s="17"/>
      <c r="C5" s="431" t="s">
        <v>225</v>
      </c>
      <c r="D5" s="431"/>
      <c r="E5" s="431"/>
      <c r="F5" s="49">
        <v>0.01</v>
      </c>
      <c r="G5" s="46" t="str">
        <f>"(1%)"</f>
        <v>(1%)</v>
      </c>
      <c r="I5" s="47"/>
      <c r="J5" s="6"/>
      <c r="K5" s="6"/>
      <c r="L5" s="6"/>
      <c r="M5" s="6"/>
      <c r="N5" s="6"/>
      <c r="O5" s="5"/>
    </row>
    <row r="6" spans="2:15" x14ac:dyDescent="0.2">
      <c r="B6" s="17"/>
      <c r="C6" s="3"/>
      <c r="D6" s="3"/>
      <c r="E6" s="1"/>
      <c r="F6" s="1"/>
      <c r="G6" s="32"/>
      <c r="H6" s="5"/>
      <c r="I6" s="6"/>
      <c r="J6" s="52"/>
      <c r="K6" s="52"/>
      <c r="L6" s="52"/>
      <c r="M6" s="52"/>
      <c r="N6" s="52"/>
      <c r="O6" s="5"/>
    </row>
    <row r="7" spans="2:15" ht="34" x14ac:dyDescent="0.2">
      <c r="B7" s="17"/>
      <c r="C7" s="56" t="s">
        <v>226</v>
      </c>
      <c r="D7" s="56" t="s">
        <v>227</v>
      </c>
      <c r="E7" s="56" t="s">
        <v>228</v>
      </c>
      <c r="F7" s="56" t="s">
        <v>229</v>
      </c>
      <c r="G7" s="31"/>
    </row>
    <row r="8" spans="2:15" x14ac:dyDescent="0.2">
      <c r="B8" s="17"/>
      <c r="C8" s="50">
        <v>1</v>
      </c>
      <c r="D8" s="50">
        <v>641</v>
      </c>
      <c r="E8" s="51">
        <f>COUNTIF($D$8:$D$47,"&gt;="&amp;D8)</f>
        <v>13</v>
      </c>
      <c r="F8" s="51">
        <f>E8/$F$5</f>
        <v>1300</v>
      </c>
      <c r="G8" s="18"/>
    </row>
    <row r="9" spans="2:15" x14ac:dyDescent="0.2">
      <c r="B9" s="17"/>
      <c r="C9" s="50">
        <v>2</v>
      </c>
      <c r="D9" s="50">
        <v>59</v>
      </c>
      <c r="E9" s="51">
        <f t="shared" ref="E9:E47" si="0">COUNTIF($D$8:$D$47,"&gt;="&amp;D9)</f>
        <v>36</v>
      </c>
      <c r="F9" s="51">
        <f t="shared" ref="F9:F47" si="1">E9/$F$5</f>
        <v>3600</v>
      </c>
      <c r="G9" s="18"/>
    </row>
    <row r="10" spans="2:15" x14ac:dyDescent="0.2">
      <c r="B10" s="17"/>
      <c r="C10" s="50">
        <v>3</v>
      </c>
      <c r="D10" s="50">
        <v>168</v>
      </c>
      <c r="E10" s="51">
        <f t="shared" si="0"/>
        <v>28</v>
      </c>
      <c r="F10" s="51">
        <f t="shared" si="1"/>
        <v>2800</v>
      </c>
      <c r="G10" s="17"/>
    </row>
    <row r="11" spans="2:15" x14ac:dyDescent="0.2">
      <c r="B11" s="17"/>
      <c r="C11" s="50">
        <v>4</v>
      </c>
      <c r="D11" s="50">
        <v>302</v>
      </c>
      <c r="E11" s="51">
        <f t="shared" si="0"/>
        <v>21</v>
      </c>
      <c r="F11" s="51">
        <f t="shared" si="1"/>
        <v>2100</v>
      </c>
      <c r="G11" s="17"/>
    </row>
    <row r="12" spans="2:15" x14ac:dyDescent="0.2">
      <c r="B12" s="17"/>
      <c r="C12" s="50">
        <v>5</v>
      </c>
      <c r="D12" s="50">
        <v>12</v>
      </c>
      <c r="E12" s="51">
        <f t="shared" si="0"/>
        <v>39</v>
      </c>
      <c r="F12" s="51">
        <f t="shared" si="1"/>
        <v>3900</v>
      </c>
      <c r="G12" s="17"/>
      <c r="I12" s="16"/>
    </row>
    <row r="13" spans="2:15" x14ac:dyDescent="0.2">
      <c r="B13" s="17"/>
      <c r="C13" s="50">
        <v>6</v>
      </c>
      <c r="D13" s="50">
        <v>597</v>
      </c>
      <c r="E13" s="51">
        <f t="shared" si="0"/>
        <v>14</v>
      </c>
      <c r="F13" s="51">
        <f t="shared" si="1"/>
        <v>1400</v>
      </c>
      <c r="G13" s="17"/>
      <c r="I13" s="28"/>
    </row>
    <row r="14" spans="2:15" x14ac:dyDescent="0.2">
      <c r="B14" s="17"/>
      <c r="C14" s="50">
        <v>7</v>
      </c>
      <c r="D14" s="50">
        <v>272</v>
      </c>
      <c r="E14" s="51">
        <f t="shared" si="0"/>
        <v>22</v>
      </c>
      <c r="F14" s="51">
        <f t="shared" si="1"/>
        <v>2200</v>
      </c>
      <c r="G14" s="17"/>
      <c r="I14" s="28"/>
    </row>
    <row r="15" spans="2:15" x14ac:dyDescent="0.2">
      <c r="B15" s="17"/>
      <c r="C15" s="50">
        <v>8</v>
      </c>
      <c r="D15" s="50">
        <v>12</v>
      </c>
      <c r="E15" s="51">
        <f t="shared" si="0"/>
        <v>39</v>
      </c>
      <c r="F15" s="51">
        <f t="shared" si="1"/>
        <v>3900</v>
      </c>
      <c r="G15" s="17"/>
      <c r="H15" s="47"/>
      <c r="I15" s="28"/>
      <c r="J15" s="53"/>
      <c r="K15" s="53"/>
      <c r="L15" s="53"/>
      <c r="M15" s="53"/>
      <c r="N15" s="53"/>
    </row>
    <row r="16" spans="2:15" x14ac:dyDescent="0.2">
      <c r="B16" s="17"/>
      <c r="C16" s="50">
        <v>9</v>
      </c>
      <c r="D16" s="50">
        <v>437</v>
      </c>
      <c r="E16" s="51">
        <f t="shared" si="0"/>
        <v>16</v>
      </c>
      <c r="F16" s="51">
        <f t="shared" si="1"/>
        <v>1600</v>
      </c>
      <c r="G16" s="17"/>
      <c r="H16" s="47"/>
      <c r="I16" s="54"/>
    </row>
    <row r="17" spans="2:20" x14ac:dyDescent="0.2">
      <c r="B17" s="17"/>
      <c r="C17" s="50">
        <v>10</v>
      </c>
      <c r="D17" s="50">
        <v>1107</v>
      </c>
      <c r="E17" s="51">
        <f t="shared" si="0"/>
        <v>1</v>
      </c>
      <c r="F17" s="51">
        <f t="shared" si="1"/>
        <v>100</v>
      </c>
      <c r="G17" s="17"/>
      <c r="H17" s="47"/>
      <c r="I17" s="54"/>
    </row>
    <row r="18" spans="2:20" x14ac:dyDescent="0.2">
      <c r="B18" s="17"/>
      <c r="C18" s="50">
        <v>11</v>
      </c>
      <c r="D18" s="50">
        <v>302</v>
      </c>
      <c r="E18" s="51">
        <f t="shared" si="0"/>
        <v>21</v>
      </c>
      <c r="F18" s="51">
        <f t="shared" si="1"/>
        <v>2100</v>
      </c>
      <c r="G18" s="17"/>
      <c r="H18" s="16"/>
      <c r="I18" s="54"/>
    </row>
    <row r="19" spans="2:20" x14ac:dyDescent="0.2">
      <c r="B19" s="17"/>
      <c r="C19" s="50">
        <v>12</v>
      </c>
      <c r="D19" s="50">
        <v>782</v>
      </c>
      <c r="E19" s="51">
        <f t="shared" si="0"/>
        <v>10</v>
      </c>
      <c r="F19" s="51">
        <f t="shared" si="1"/>
        <v>1000</v>
      </c>
      <c r="G19" s="17"/>
      <c r="J19" s="29"/>
      <c r="K19" s="29"/>
      <c r="L19" s="29"/>
      <c r="M19" s="29"/>
      <c r="N19" s="29"/>
    </row>
    <row r="20" spans="2:20" x14ac:dyDescent="0.2">
      <c r="B20" s="17"/>
      <c r="C20" s="50">
        <v>13</v>
      </c>
      <c r="D20" s="50">
        <v>107</v>
      </c>
      <c r="E20" s="51">
        <f t="shared" si="0"/>
        <v>33</v>
      </c>
      <c r="F20" s="51">
        <f t="shared" si="1"/>
        <v>3300</v>
      </c>
      <c r="G20" s="18"/>
      <c r="H20" s="16"/>
    </row>
    <row r="21" spans="2:20" x14ac:dyDescent="0.2">
      <c r="B21" s="17"/>
      <c r="C21" s="50">
        <v>14</v>
      </c>
      <c r="D21" s="50">
        <v>244</v>
      </c>
      <c r="E21" s="51">
        <f t="shared" si="0"/>
        <v>24</v>
      </c>
      <c r="F21" s="51">
        <f t="shared" si="1"/>
        <v>2400</v>
      </c>
      <c r="G21" s="30"/>
      <c r="H21" s="28"/>
      <c r="I21" s="47"/>
    </row>
    <row r="22" spans="2:20" x14ac:dyDescent="0.2">
      <c r="B22" s="17"/>
      <c r="C22" s="50">
        <v>15</v>
      </c>
      <c r="D22" s="50">
        <v>686</v>
      </c>
      <c r="E22" s="51">
        <f t="shared" si="0"/>
        <v>12</v>
      </c>
      <c r="F22" s="51">
        <f t="shared" si="1"/>
        <v>1200</v>
      </c>
      <c r="G22" s="17"/>
      <c r="H22" s="16"/>
      <c r="J22" s="48"/>
      <c r="K22" s="48"/>
      <c r="L22" s="48"/>
      <c r="M22" s="48"/>
      <c r="N22" s="48"/>
    </row>
    <row r="23" spans="2:20" x14ac:dyDescent="0.2">
      <c r="B23" s="17"/>
      <c r="C23" s="50">
        <v>16</v>
      </c>
      <c r="D23" s="50">
        <v>1049</v>
      </c>
      <c r="E23" s="51">
        <f t="shared" si="0"/>
        <v>3</v>
      </c>
      <c r="F23" s="51">
        <f t="shared" si="1"/>
        <v>300</v>
      </c>
      <c r="G23" s="17"/>
    </row>
    <row r="24" spans="2:20" x14ac:dyDescent="0.2">
      <c r="B24" s="17"/>
      <c r="C24" s="50">
        <v>17</v>
      </c>
      <c r="D24" s="50">
        <v>333</v>
      </c>
      <c r="E24" s="51">
        <f t="shared" si="0"/>
        <v>19</v>
      </c>
      <c r="F24" s="51">
        <f t="shared" si="1"/>
        <v>1900</v>
      </c>
      <c r="G24" s="17"/>
      <c r="H24" s="16"/>
      <c r="J24" s="48"/>
      <c r="K24" s="48"/>
      <c r="L24" s="48"/>
      <c r="M24" s="48"/>
      <c r="N24" s="48"/>
    </row>
    <row r="25" spans="2:20" x14ac:dyDescent="0.2">
      <c r="B25" s="17"/>
      <c r="C25" s="50">
        <v>18</v>
      </c>
      <c r="D25" s="50">
        <v>832</v>
      </c>
      <c r="E25" s="51">
        <f t="shared" si="0"/>
        <v>7</v>
      </c>
      <c r="F25" s="51">
        <f t="shared" si="1"/>
        <v>700</v>
      </c>
      <c r="G25" s="17"/>
    </row>
    <row r="26" spans="2:20" x14ac:dyDescent="0.2">
      <c r="B26" s="17"/>
      <c r="C26" s="50">
        <v>19</v>
      </c>
      <c r="D26" s="50">
        <v>126</v>
      </c>
      <c r="E26" s="51">
        <f t="shared" si="0"/>
        <v>32</v>
      </c>
      <c r="F26" s="51">
        <f t="shared" si="1"/>
        <v>3200</v>
      </c>
      <c r="G26" s="17"/>
    </row>
    <row r="27" spans="2:20" x14ac:dyDescent="0.2">
      <c r="B27" s="17"/>
      <c r="C27" s="50">
        <v>20</v>
      </c>
      <c r="D27" s="50">
        <v>782</v>
      </c>
      <c r="E27" s="51">
        <f t="shared" si="0"/>
        <v>10</v>
      </c>
      <c r="F27" s="51">
        <f t="shared" si="1"/>
        <v>1000</v>
      </c>
      <c r="G27" s="17"/>
      <c r="R27">
        <f>450</f>
        <v>450</v>
      </c>
      <c r="S27">
        <f xml:space="preserve"> -0.000005*R27^3 + 0.0099*R27^2 - 8.9373*R27 + 4059.6</f>
        <v>1586.94</v>
      </c>
      <c r="T27">
        <f>R27*S27</f>
        <v>714123</v>
      </c>
    </row>
    <row r="28" spans="2:20" x14ac:dyDescent="0.2">
      <c r="B28" s="17"/>
      <c r="C28" s="50">
        <v>21</v>
      </c>
      <c r="D28" s="50">
        <v>59</v>
      </c>
      <c r="E28" s="51">
        <f t="shared" si="0"/>
        <v>36</v>
      </c>
      <c r="F28" s="51">
        <f t="shared" si="1"/>
        <v>3600</v>
      </c>
      <c r="G28" s="17"/>
    </row>
    <row r="29" spans="2:20" x14ac:dyDescent="0.2">
      <c r="B29" s="17"/>
      <c r="C29" s="50">
        <v>22</v>
      </c>
      <c r="D29" s="50">
        <v>686</v>
      </c>
      <c r="E29" s="51">
        <f t="shared" si="0"/>
        <v>12</v>
      </c>
      <c r="F29" s="51">
        <f t="shared" si="1"/>
        <v>1200</v>
      </c>
      <c r="G29" s="17"/>
    </row>
    <row r="30" spans="2:20" x14ac:dyDescent="0.2">
      <c r="B30" s="17"/>
      <c r="C30" s="50">
        <v>23</v>
      </c>
      <c r="D30" s="50">
        <v>126</v>
      </c>
      <c r="E30" s="51">
        <f t="shared" si="0"/>
        <v>32</v>
      </c>
      <c r="F30" s="51">
        <f t="shared" si="1"/>
        <v>3200</v>
      </c>
      <c r="G30" s="17"/>
    </row>
    <row r="31" spans="2:20" x14ac:dyDescent="0.2">
      <c r="B31" s="17"/>
      <c r="C31" s="50">
        <v>24</v>
      </c>
      <c r="D31" s="50">
        <v>126</v>
      </c>
      <c r="E31" s="51">
        <f t="shared" si="0"/>
        <v>32</v>
      </c>
      <c r="F31" s="51">
        <f t="shared" si="1"/>
        <v>3200</v>
      </c>
      <c r="G31" s="17"/>
    </row>
    <row r="32" spans="2:20" x14ac:dyDescent="0.2">
      <c r="B32" s="17"/>
      <c r="C32" s="50">
        <v>25</v>
      </c>
      <c r="D32" s="50">
        <v>26</v>
      </c>
      <c r="E32" s="51">
        <f t="shared" si="0"/>
        <v>37</v>
      </c>
      <c r="F32" s="51">
        <f t="shared" si="1"/>
        <v>3700</v>
      </c>
      <c r="G32" s="17"/>
    </row>
    <row r="33" spans="2:7" x14ac:dyDescent="0.2">
      <c r="B33" s="17"/>
      <c r="C33" s="50">
        <v>26</v>
      </c>
      <c r="D33" s="50">
        <v>168</v>
      </c>
      <c r="E33" s="51">
        <f t="shared" si="0"/>
        <v>28</v>
      </c>
      <c r="F33" s="51">
        <f t="shared" si="1"/>
        <v>2800</v>
      </c>
      <c r="G33" s="17"/>
    </row>
    <row r="34" spans="2:7" x14ac:dyDescent="0.2">
      <c r="B34" s="17"/>
      <c r="C34" s="50">
        <v>27</v>
      </c>
      <c r="D34" s="50">
        <v>555</v>
      </c>
      <c r="E34" s="51">
        <f t="shared" si="0"/>
        <v>15</v>
      </c>
      <c r="F34" s="51">
        <f t="shared" si="1"/>
        <v>1500</v>
      </c>
      <c r="G34" s="17"/>
    </row>
    <row r="35" spans="2:7" x14ac:dyDescent="0.2">
      <c r="B35" s="17"/>
      <c r="C35" s="50">
        <v>28</v>
      </c>
      <c r="D35" s="50">
        <v>366</v>
      </c>
      <c r="E35" s="51">
        <f t="shared" si="0"/>
        <v>17</v>
      </c>
      <c r="F35" s="51">
        <f t="shared" si="1"/>
        <v>1700</v>
      </c>
      <c r="G35" s="17"/>
    </row>
    <row r="36" spans="2:7" x14ac:dyDescent="0.2">
      <c r="B36" s="17"/>
      <c r="C36" s="50">
        <v>29</v>
      </c>
      <c r="D36" s="50">
        <v>884</v>
      </c>
      <c r="E36" s="51">
        <f t="shared" si="0"/>
        <v>5</v>
      </c>
      <c r="F36" s="51">
        <f t="shared" si="1"/>
        <v>500</v>
      </c>
      <c r="G36" s="17"/>
    </row>
    <row r="37" spans="2:7" x14ac:dyDescent="0.2">
      <c r="B37" s="17"/>
      <c r="C37" s="50">
        <v>30</v>
      </c>
      <c r="D37" s="50">
        <v>126</v>
      </c>
      <c r="E37" s="51">
        <f t="shared" si="0"/>
        <v>32</v>
      </c>
      <c r="F37" s="51">
        <f t="shared" si="1"/>
        <v>3200</v>
      </c>
      <c r="G37" s="17"/>
    </row>
    <row r="38" spans="2:7" x14ac:dyDescent="0.2">
      <c r="B38" s="17"/>
      <c r="C38" s="50">
        <v>31</v>
      </c>
      <c r="D38" s="50">
        <v>1049</v>
      </c>
      <c r="E38" s="51">
        <f t="shared" si="0"/>
        <v>3</v>
      </c>
      <c r="F38" s="51">
        <f t="shared" si="1"/>
        <v>300</v>
      </c>
      <c r="G38" s="17"/>
    </row>
    <row r="39" spans="2:7" x14ac:dyDescent="0.2">
      <c r="B39" s="17"/>
      <c r="C39" s="50">
        <v>32</v>
      </c>
      <c r="D39" s="50">
        <v>832</v>
      </c>
      <c r="E39" s="51">
        <f t="shared" si="0"/>
        <v>7</v>
      </c>
      <c r="F39" s="51">
        <f t="shared" si="1"/>
        <v>700</v>
      </c>
      <c r="G39" s="17"/>
    </row>
    <row r="40" spans="2:7" x14ac:dyDescent="0.2">
      <c r="B40" s="17"/>
      <c r="C40" s="50">
        <v>33</v>
      </c>
      <c r="D40" s="50">
        <v>192</v>
      </c>
      <c r="E40" s="51">
        <f t="shared" si="0"/>
        <v>26</v>
      </c>
      <c r="F40" s="51">
        <f t="shared" si="1"/>
        <v>2600</v>
      </c>
      <c r="G40" s="17"/>
    </row>
    <row r="41" spans="2:7" x14ac:dyDescent="0.2">
      <c r="B41" s="17"/>
      <c r="C41" s="50">
        <v>34</v>
      </c>
      <c r="D41" s="50">
        <v>244</v>
      </c>
      <c r="E41" s="51">
        <f t="shared" si="0"/>
        <v>24</v>
      </c>
      <c r="F41" s="51">
        <f t="shared" si="1"/>
        <v>2400</v>
      </c>
      <c r="G41" s="17"/>
    </row>
    <row r="42" spans="2:7" x14ac:dyDescent="0.2">
      <c r="B42" s="17"/>
      <c r="C42" s="50">
        <v>35</v>
      </c>
      <c r="D42" s="50">
        <v>884</v>
      </c>
      <c r="E42" s="51">
        <f t="shared" si="0"/>
        <v>5</v>
      </c>
      <c r="F42" s="51">
        <f t="shared" si="1"/>
        <v>500</v>
      </c>
      <c r="G42" s="17"/>
    </row>
    <row r="43" spans="2:7" x14ac:dyDescent="0.2">
      <c r="B43" s="17"/>
      <c r="C43" s="50">
        <v>36</v>
      </c>
      <c r="D43" s="50">
        <v>217</v>
      </c>
      <c r="E43" s="51">
        <f t="shared" si="0"/>
        <v>25</v>
      </c>
      <c r="F43" s="51">
        <f t="shared" si="1"/>
        <v>2500</v>
      </c>
      <c r="G43" s="17"/>
    </row>
    <row r="44" spans="2:7" x14ac:dyDescent="0.2">
      <c r="B44" s="17"/>
      <c r="C44" s="50">
        <v>37</v>
      </c>
      <c r="D44" s="50">
        <v>333</v>
      </c>
      <c r="E44" s="51">
        <f t="shared" si="0"/>
        <v>19</v>
      </c>
      <c r="F44" s="51">
        <f t="shared" si="1"/>
        <v>1900</v>
      </c>
      <c r="G44" s="17"/>
    </row>
    <row r="45" spans="2:7" x14ac:dyDescent="0.2">
      <c r="B45" s="17"/>
      <c r="C45" s="50">
        <v>38</v>
      </c>
      <c r="D45" s="50">
        <v>782</v>
      </c>
      <c r="E45" s="51">
        <f t="shared" si="0"/>
        <v>10</v>
      </c>
      <c r="F45" s="51">
        <f t="shared" si="1"/>
        <v>1000</v>
      </c>
      <c r="G45" s="17"/>
    </row>
    <row r="46" spans="2:7" x14ac:dyDescent="0.2">
      <c r="B46" s="17"/>
      <c r="C46" s="50">
        <v>39</v>
      </c>
      <c r="D46" s="50">
        <v>59</v>
      </c>
      <c r="E46" s="51">
        <f t="shared" si="0"/>
        <v>36</v>
      </c>
      <c r="F46" s="51">
        <f t="shared" si="1"/>
        <v>3600</v>
      </c>
      <c r="G46" s="17"/>
    </row>
    <row r="47" spans="2:7" x14ac:dyDescent="0.2">
      <c r="B47" s="17"/>
      <c r="C47" s="50">
        <v>40</v>
      </c>
      <c r="D47" s="50">
        <v>4</v>
      </c>
      <c r="E47" s="51">
        <f t="shared" si="0"/>
        <v>40</v>
      </c>
      <c r="F47" s="51">
        <f t="shared" si="1"/>
        <v>4000</v>
      </c>
      <c r="G47" s="17"/>
    </row>
    <row r="48" spans="2:7" x14ac:dyDescent="0.2">
      <c r="B48" s="17"/>
      <c r="C48" s="17"/>
      <c r="D48" s="17"/>
      <c r="E48" s="17"/>
      <c r="F48" s="17"/>
      <c r="G48" s="17"/>
    </row>
    <row r="49" spans="2:7" x14ac:dyDescent="0.2">
      <c r="B49" s="17"/>
      <c r="C49" s="17"/>
      <c r="D49" s="17"/>
      <c r="E49" s="17"/>
      <c r="F49" s="17"/>
      <c r="G49" s="17"/>
    </row>
  </sheetData>
  <mergeCells count="2">
    <mergeCell ref="C4:E4"/>
    <mergeCell ref="C5:E5"/>
  </mergeCells>
  <pageMargins left="0.7" right="0.7" top="0.75" bottom="0.75" header="0.3" footer="0.3"/>
  <drawing r:id="rId1"/>
  <picture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3662F-F051-46CD-BF05-4E4EBBFB57A9}">
  <sheetPr codeName="Sheet17"/>
  <dimension ref="A1:P2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7" sqref="G17"/>
    </sheetView>
  </sheetViews>
  <sheetFormatPr baseColWidth="10" defaultColWidth="8.83203125" defaultRowHeight="15" x14ac:dyDescent="0.2"/>
  <cols>
    <col min="1" max="1" width="3.5" style="348" customWidth="1"/>
    <col min="3" max="3" width="11.33203125" customWidth="1"/>
    <col min="4" max="4" width="12.33203125" customWidth="1"/>
    <col min="5" max="5" width="13.33203125" customWidth="1"/>
    <col min="6" max="6" width="20" customWidth="1"/>
    <col min="7" max="7" width="12.6640625" customWidth="1"/>
    <col min="9" max="9" width="10.6640625" customWidth="1"/>
    <col min="10" max="10" width="17" customWidth="1"/>
    <col min="11" max="11" width="22" customWidth="1"/>
    <col min="12" max="12" width="12.83203125" customWidth="1"/>
  </cols>
  <sheetData>
    <row r="1" spans="1:16" s="348" customFormat="1" ht="16" x14ac:dyDescent="0.2">
      <c r="A1" s="357"/>
      <c r="B1" s="358"/>
      <c r="C1" s="359"/>
      <c r="D1" s="360"/>
      <c r="E1" s="360"/>
      <c r="F1" s="360"/>
      <c r="G1" s="360"/>
      <c r="H1" s="360"/>
      <c r="I1" s="358"/>
      <c r="J1" s="358"/>
      <c r="K1" s="358"/>
      <c r="L1" s="358"/>
      <c r="M1" s="358"/>
    </row>
    <row r="2" spans="1:16" ht="16" x14ac:dyDescent="0.2">
      <c r="A2" s="357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17"/>
      <c r="O2" s="17"/>
      <c r="P2" s="17"/>
    </row>
    <row r="3" spans="1:16" ht="16" x14ac:dyDescent="0.2">
      <c r="A3" s="357"/>
      <c r="B3" s="26"/>
      <c r="C3" s="33" t="s">
        <v>231</v>
      </c>
      <c r="D3" s="26"/>
      <c r="E3" s="26"/>
      <c r="F3" s="26"/>
      <c r="G3" s="26"/>
      <c r="H3" s="26"/>
      <c r="I3" s="33" t="s">
        <v>232</v>
      </c>
      <c r="J3" s="26"/>
      <c r="K3" s="26"/>
      <c r="L3" s="26"/>
      <c r="M3" s="26"/>
      <c r="N3" s="26"/>
      <c r="O3" s="26"/>
      <c r="P3" s="17"/>
    </row>
    <row r="4" spans="1:16" ht="17" x14ac:dyDescent="0.2">
      <c r="A4" s="357"/>
      <c r="B4" s="26"/>
      <c r="C4" s="330" t="s">
        <v>233</v>
      </c>
      <c r="D4" s="331" t="s">
        <v>234</v>
      </c>
      <c r="E4" s="333" t="s">
        <v>235</v>
      </c>
      <c r="F4" s="333" t="s">
        <v>236</v>
      </c>
      <c r="G4" s="332" t="s">
        <v>237</v>
      </c>
      <c r="H4" s="26"/>
      <c r="I4" s="330" t="s">
        <v>238</v>
      </c>
      <c r="J4" s="331" t="s">
        <v>239</v>
      </c>
      <c r="K4" s="331" t="s">
        <v>240</v>
      </c>
      <c r="L4" s="331" t="s">
        <v>241</v>
      </c>
      <c r="M4" s="331" t="s">
        <v>242</v>
      </c>
      <c r="N4" s="331" t="s">
        <v>243</v>
      </c>
      <c r="O4" s="332" t="s">
        <v>244</v>
      </c>
      <c r="P4" s="17"/>
    </row>
    <row r="5" spans="1:16" ht="16" x14ac:dyDescent="0.2">
      <c r="A5" s="357"/>
      <c r="B5" s="26"/>
      <c r="C5" s="135">
        <v>1</v>
      </c>
      <c r="D5" s="34">
        <v>500</v>
      </c>
      <c r="E5" s="34">
        <v>200</v>
      </c>
      <c r="F5" s="34">
        <v>40</v>
      </c>
      <c r="G5" s="136">
        <v>740</v>
      </c>
      <c r="H5" s="26"/>
      <c r="I5" s="139">
        <f>D5-D$14</f>
        <v>-170</v>
      </c>
      <c r="J5" s="139">
        <f t="shared" ref="J5:L5" si="0">E5-E$14</f>
        <v>-20</v>
      </c>
      <c r="K5" s="139">
        <f t="shared" si="0"/>
        <v>-20</v>
      </c>
      <c r="L5" s="139">
        <f t="shared" si="0"/>
        <v>0</v>
      </c>
      <c r="M5" s="150">
        <f>MAX(I5:L5)</f>
        <v>0</v>
      </c>
      <c r="N5" s="151">
        <f>IF(M5&lt;0,0,MATCH(M5,I5:L5,0))</f>
        <v>4</v>
      </c>
      <c r="O5" s="151" cm="1">
        <f t="array" ref="O5">IF(N5=0,0,INDEX($D$15:$G$15,0,N5))</f>
        <v>220</v>
      </c>
      <c r="P5" s="17"/>
    </row>
    <row r="6" spans="1:16" ht="16" x14ac:dyDescent="0.2">
      <c r="A6" s="357"/>
      <c r="B6" s="26"/>
      <c r="C6" s="135">
        <v>2</v>
      </c>
      <c r="D6" s="34">
        <v>800</v>
      </c>
      <c r="E6" s="34">
        <v>120</v>
      </c>
      <c r="F6" s="34">
        <v>0</v>
      </c>
      <c r="G6" s="136">
        <v>920</v>
      </c>
      <c r="H6" s="26"/>
      <c r="I6" s="152">
        <f t="shared" ref="I6:I9" si="1">D6-D$14</f>
        <v>130</v>
      </c>
      <c r="J6" s="149">
        <f t="shared" ref="J6:J9" si="2">E6-E$14</f>
        <v>-100</v>
      </c>
      <c r="K6" s="149">
        <f t="shared" ref="K6:K9" si="3">F6-F$14</f>
        <v>-60</v>
      </c>
      <c r="L6" s="149">
        <f t="shared" ref="L6:L9" si="4">G6-G$14</f>
        <v>180</v>
      </c>
      <c r="M6" s="150">
        <f t="shared" ref="M6:M9" si="5">MAX(I6:L6)</f>
        <v>180</v>
      </c>
      <c r="N6" s="151">
        <f t="shared" ref="N6:N9" si="6">IF(M6&lt;0,0,MATCH(M6,I6:L6,0))</f>
        <v>4</v>
      </c>
      <c r="O6" s="151" cm="1">
        <f t="array" ref="O6">IF(N6=0,0,INDEX($D$15:$G$15,0,N6))</f>
        <v>220</v>
      </c>
      <c r="P6" s="17"/>
    </row>
    <row r="7" spans="1:16" ht="16" x14ac:dyDescent="0.2">
      <c r="A7" s="357"/>
      <c r="B7" s="26"/>
      <c r="C7" s="135">
        <v>3</v>
      </c>
      <c r="D7" s="34">
        <v>670</v>
      </c>
      <c r="E7" s="34">
        <v>40</v>
      </c>
      <c r="F7" s="34">
        <v>20</v>
      </c>
      <c r="G7" s="136">
        <v>730</v>
      </c>
      <c r="H7" s="26"/>
      <c r="I7" s="152">
        <f t="shared" si="1"/>
        <v>0</v>
      </c>
      <c r="J7" s="149">
        <f t="shared" si="2"/>
        <v>-180</v>
      </c>
      <c r="K7" s="149">
        <f t="shared" si="3"/>
        <v>-40</v>
      </c>
      <c r="L7" s="149">
        <f t="shared" si="4"/>
        <v>-10</v>
      </c>
      <c r="M7" s="150">
        <f t="shared" si="5"/>
        <v>0</v>
      </c>
      <c r="N7" s="151">
        <f t="shared" si="6"/>
        <v>1</v>
      </c>
      <c r="O7" s="151" cm="1">
        <f t="array" ref="O7">IF(N7=0,0,INDEX($D$15:$G$15,0,N7))</f>
        <v>270</v>
      </c>
      <c r="P7" s="17"/>
    </row>
    <row r="8" spans="1:16" ht="16" x14ac:dyDescent="0.2">
      <c r="A8" s="357"/>
      <c r="B8" s="26"/>
      <c r="C8" s="135">
        <v>4</v>
      </c>
      <c r="D8" s="34">
        <v>580</v>
      </c>
      <c r="E8" s="34">
        <v>0</v>
      </c>
      <c r="F8" s="34">
        <v>40</v>
      </c>
      <c r="G8" s="136">
        <v>620</v>
      </c>
      <c r="H8" s="26"/>
      <c r="I8" s="152">
        <f t="shared" si="1"/>
        <v>-90</v>
      </c>
      <c r="J8" s="149">
        <f t="shared" si="2"/>
        <v>-220</v>
      </c>
      <c r="K8" s="149">
        <f t="shared" si="3"/>
        <v>-20</v>
      </c>
      <c r="L8" s="149">
        <f t="shared" si="4"/>
        <v>-120</v>
      </c>
      <c r="M8" s="150">
        <f t="shared" si="5"/>
        <v>-20</v>
      </c>
      <c r="N8" s="151">
        <f t="shared" si="6"/>
        <v>0</v>
      </c>
      <c r="O8" s="151" cm="1">
        <f t="array" ref="O8">IF(N8=0,0,INDEX($D$15:$G$15,0,N8))</f>
        <v>0</v>
      </c>
      <c r="P8" s="17"/>
    </row>
    <row r="9" spans="1:16" ht="16" x14ac:dyDescent="0.2">
      <c r="A9" s="357"/>
      <c r="B9" s="26"/>
      <c r="C9" s="137">
        <v>5</v>
      </c>
      <c r="D9" s="143">
        <v>700</v>
      </c>
      <c r="E9" s="143">
        <v>110</v>
      </c>
      <c r="F9" s="143">
        <v>20</v>
      </c>
      <c r="G9" s="138">
        <v>830</v>
      </c>
      <c r="H9" s="26"/>
      <c r="I9" s="153">
        <f t="shared" si="1"/>
        <v>30</v>
      </c>
      <c r="J9" s="154">
        <f t="shared" si="2"/>
        <v>-110</v>
      </c>
      <c r="K9" s="154">
        <f t="shared" si="3"/>
        <v>-40</v>
      </c>
      <c r="L9" s="154">
        <f t="shared" si="4"/>
        <v>90</v>
      </c>
      <c r="M9" s="150">
        <f t="shared" si="5"/>
        <v>90</v>
      </c>
      <c r="N9" s="151">
        <f t="shared" si="6"/>
        <v>4</v>
      </c>
      <c r="O9" s="151" cm="1">
        <f t="array" ref="O9">IF(N9=0,0,INDEX($D$15:$G$15,0,N9))</f>
        <v>220</v>
      </c>
      <c r="P9" s="17"/>
    </row>
    <row r="10" spans="1:16" ht="16" x14ac:dyDescent="0.2">
      <c r="A10" s="357"/>
      <c r="B10" s="26"/>
      <c r="C10" s="34"/>
      <c r="D10" s="34"/>
      <c r="E10" s="34"/>
      <c r="F10" s="34"/>
      <c r="G10" s="26"/>
      <c r="H10" s="26"/>
      <c r="I10" s="26"/>
      <c r="J10" s="26"/>
      <c r="K10" s="26"/>
      <c r="L10" s="26"/>
      <c r="M10" s="26"/>
      <c r="N10" s="26"/>
      <c r="O10" s="26"/>
      <c r="P10" s="17"/>
    </row>
    <row r="11" spans="1:16" ht="16" x14ac:dyDescent="0.2">
      <c r="A11" s="357"/>
      <c r="B11" s="26"/>
      <c r="C11" s="142"/>
      <c r="D11" s="144">
        <v>1</v>
      </c>
      <c r="E11" s="144">
        <v>2</v>
      </c>
      <c r="F11" s="144">
        <v>3</v>
      </c>
      <c r="G11" s="145">
        <v>4</v>
      </c>
      <c r="H11" s="26"/>
      <c r="I11" s="26"/>
      <c r="J11" s="26"/>
      <c r="K11" s="26"/>
      <c r="L11" s="26"/>
      <c r="M11" s="26"/>
      <c r="N11" s="26"/>
      <c r="O11" s="26"/>
      <c r="P11" s="17"/>
    </row>
    <row r="12" spans="1:16" ht="17" x14ac:dyDescent="0.2">
      <c r="A12" s="357"/>
      <c r="B12" s="26"/>
      <c r="C12" s="140" t="s">
        <v>141</v>
      </c>
      <c r="D12" s="143">
        <v>400</v>
      </c>
      <c r="E12" s="143">
        <v>100</v>
      </c>
      <c r="F12" s="143">
        <v>20</v>
      </c>
      <c r="G12" s="146">
        <f>SUM(D12:F12)</f>
        <v>520</v>
      </c>
      <c r="H12" s="26"/>
      <c r="I12" s="26"/>
      <c r="J12" s="26"/>
      <c r="K12" s="26"/>
      <c r="L12" s="26"/>
      <c r="M12" s="26"/>
      <c r="N12" s="26"/>
      <c r="O12" s="26"/>
      <c r="P12" s="17"/>
    </row>
    <row r="13" spans="1:16" ht="16" x14ac:dyDescent="0.2">
      <c r="A13" s="357"/>
      <c r="B13" s="26"/>
      <c r="C13" s="35"/>
      <c r="D13" s="34"/>
      <c r="E13" s="34"/>
      <c r="F13" s="34"/>
      <c r="G13" s="34"/>
      <c r="H13" s="26"/>
      <c r="I13" s="33" t="s">
        <v>245</v>
      </c>
      <c r="J13" s="26"/>
      <c r="K13" s="26"/>
      <c r="L13" s="26"/>
      <c r="M13" s="26"/>
      <c r="N13" s="26"/>
      <c r="O13" s="26"/>
      <c r="P13" s="17"/>
    </row>
    <row r="14" spans="1:16" ht="17" x14ac:dyDescent="0.2">
      <c r="A14" s="357"/>
      <c r="B14" s="26"/>
      <c r="C14" s="141" t="s">
        <v>37</v>
      </c>
      <c r="D14" s="412">
        <v>670</v>
      </c>
      <c r="E14" s="392">
        <v>220</v>
      </c>
      <c r="F14" s="392">
        <v>60</v>
      </c>
      <c r="G14" s="393">
        <v>740</v>
      </c>
      <c r="H14" s="26"/>
      <c r="I14" s="329" t="s">
        <v>234</v>
      </c>
      <c r="J14" s="329" t="s">
        <v>235</v>
      </c>
      <c r="K14" s="329" t="s">
        <v>236</v>
      </c>
      <c r="L14" s="329" t="s">
        <v>237</v>
      </c>
      <c r="M14" s="26"/>
      <c r="N14" s="26"/>
      <c r="O14" s="26"/>
      <c r="P14" s="17"/>
    </row>
    <row r="15" spans="1:16" ht="17" x14ac:dyDescent="0.2">
      <c r="A15" s="357"/>
      <c r="B15" s="26"/>
      <c r="C15" s="140" t="s">
        <v>244</v>
      </c>
      <c r="D15" s="143">
        <f>D14-D12</f>
        <v>270</v>
      </c>
      <c r="E15" s="143">
        <f>E14-E12</f>
        <v>120</v>
      </c>
      <c r="F15" s="143">
        <f>F14-F12</f>
        <v>40</v>
      </c>
      <c r="G15" s="146">
        <f>G14-G12</f>
        <v>220</v>
      </c>
      <c r="H15" s="26"/>
      <c r="I15" s="412">
        <v>670</v>
      </c>
      <c r="J15" s="392">
        <v>220</v>
      </c>
      <c r="K15" s="392">
        <v>60</v>
      </c>
      <c r="L15" s="393">
        <v>740</v>
      </c>
      <c r="M15" s="26"/>
      <c r="N15" s="26"/>
      <c r="O15" s="26"/>
      <c r="P15" s="17"/>
    </row>
    <row r="16" spans="1:16" ht="16" x14ac:dyDescent="0.2">
      <c r="A16" s="357"/>
      <c r="B16" s="26"/>
      <c r="C16" s="34"/>
      <c r="D16" s="34"/>
      <c r="E16" s="34"/>
      <c r="F16" s="34"/>
      <c r="G16" s="26"/>
      <c r="H16" s="26"/>
      <c r="I16" s="412">
        <v>670</v>
      </c>
      <c r="J16" s="392">
        <v>200</v>
      </c>
      <c r="K16" s="392">
        <v>60</v>
      </c>
      <c r="L16" s="393">
        <v>740</v>
      </c>
      <c r="M16" s="26"/>
      <c r="N16" s="26"/>
      <c r="O16" s="26"/>
      <c r="P16" s="17"/>
    </row>
    <row r="17" spans="1:16" ht="16" x14ac:dyDescent="0.2">
      <c r="A17" s="357"/>
      <c r="B17" s="26"/>
      <c r="C17" s="147" t="s">
        <v>246</v>
      </c>
      <c r="D17" s="148"/>
      <c r="E17" s="148"/>
      <c r="F17" s="148"/>
      <c r="G17" s="429">
        <f>SUM(O5:O9)</f>
        <v>930</v>
      </c>
      <c r="H17" s="26"/>
      <c r="I17" s="412">
        <v>670</v>
      </c>
      <c r="J17" s="392">
        <v>200</v>
      </c>
      <c r="K17" s="392">
        <v>40</v>
      </c>
      <c r="L17" s="393">
        <v>740</v>
      </c>
      <c r="M17" s="26"/>
      <c r="N17" s="26"/>
      <c r="O17" s="26"/>
      <c r="P17" s="17"/>
    </row>
    <row r="18" spans="1:16" ht="16" x14ac:dyDescent="0.2">
      <c r="A18" s="357"/>
      <c r="B18" s="26"/>
      <c r="C18" s="26"/>
      <c r="D18" s="26"/>
      <c r="E18" s="26"/>
      <c r="F18" s="26"/>
      <c r="G18" s="26"/>
      <c r="H18" s="26"/>
      <c r="I18" s="412">
        <v>700</v>
      </c>
      <c r="J18" s="392">
        <v>200</v>
      </c>
      <c r="K18" s="392">
        <v>40</v>
      </c>
      <c r="L18" s="393">
        <v>880</v>
      </c>
      <c r="M18" s="26"/>
      <c r="N18" s="26"/>
      <c r="O18" s="26"/>
      <c r="P18" s="17"/>
    </row>
    <row r="19" spans="1:16" ht="16" x14ac:dyDescent="0.2">
      <c r="A19" s="357"/>
      <c r="B19" s="26"/>
      <c r="C19" s="26"/>
      <c r="D19" s="26"/>
      <c r="E19" s="26"/>
      <c r="F19" s="26"/>
      <c r="G19" s="26"/>
      <c r="H19" s="26"/>
      <c r="I19" s="413">
        <v>700</v>
      </c>
      <c r="J19" s="414">
        <v>220</v>
      </c>
      <c r="K19" s="414">
        <v>60</v>
      </c>
      <c r="L19" s="415">
        <v>880</v>
      </c>
      <c r="M19" s="26"/>
      <c r="N19" s="26"/>
      <c r="O19" s="26"/>
      <c r="P19" s="17"/>
    </row>
    <row r="20" spans="1:16" ht="16" x14ac:dyDescent="0.2">
      <c r="A20" s="357"/>
      <c r="B20" s="26"/>
      <c r="C20" s="17"/>
      <c r="D20" s="26"/>
      <c r="E20" s="26"/>
      <c r="F20" s="26"/>
      <c r="G20" s="26"/>
      <c r="H20" s="26"/>
      <c r="I20" s="33"/>
      <c r="J20" s="26"/>
      <c r="K20" s="26"/>
      <c r="L20" s="26"/>
      <c r="M20" s="26"/>
      <c r="N20" s="26"/>
      <c r="O20" s="26"/>
      <c r="P20" s="17"/>
    </row>
    <row r="21" spans="1:16" ht="16" x14ac:dyDescent="0.2">
      <c r="A21" s="357"/>
      <c r="B21" s="394"/>
      <c r="D21" s="394"/>
      <c r="E21" s="394"/>
      <c r="F21" s="394"/>
      <c r="G21" s="394"/>
      <c r="H21" s="394"/>
      <c r="I21" s="395"/>
      <c r="J21" s="396"/>
      <c r="K21" s="394"/>
      <c r="L21" s="394"/>
      <c r="M21" s="394"/>
      <c r="N21" s="394"/>
      <c r="O21" s="394"/>
    </row>
    <row r="22" spans="1:16" ht="16" x14ac:dyDescent="0.2">
      <c r="A22" s="357"/>
      <c r="B22" s="394"/>
      <c r="D22" s="394"/>
      <c r="E22" s="394"/>
      <c r="F22" s="394"/>
      <c r="G22" s="394"/>
      <c r="H22" s="394"/>
      <c r="I22" s="394"/>
      <c r="J22" s="394"/>
      <c r="K22" s="394"/>
      <c r="L22" s="394"/>
      <c r="M22" s="394"/>
      <c r="N22" s="394"/>
      <c r="O22" s="394"/>
    </row>
    <row r="23" spans="1:16" ht="16" x14ac:dyDescent="0.2">
      <c r="A23" s="357"/>
      <c r="B23" s="394"/>
      <c r="D23" s="394"/>
      <c r="E23" s="394"/>
      <c r="F23" s="394"/>
      <c r="G23" s="394"/>
      <c r="H23" s="394"/>
      <c r="I23" s="394"/>
      <c r="J23" s="394"/>
      <c r="K23" s="394"/>
      <c r="L23" s="394"/>
      <c r="M23" s="394"/>
      <c r="N23" s="394"/>
      <c r="O23" s="394"/>
    </row>
    <row r="24" spans="1:16" ht="16" x14ac:dyDescent="0.2">
      <c r="A24" s="357"/>
      <c r="D24" s="394"/>
      <c r="E24" s="394"/>
      <c r="F24" s="394"/>
      <c r="G24" s="394"/>
      <c r="H24" s="394"/>
      <c r="I24" s="394"/>
      <c r="J24" s="394"/>
      <c r="K24" s="394"/>
      <c r="L24" s="394"/>
      <c r="M24" s="394"/>
      <c r="N24" s="394"/>
      <c r="O24" s="394"/>
    </row>
    <row r="25" spans="1:16" ht="16" x14ac:dyDescent="0.2">
      <c r="A25" s="357"/>
      <c r="B25" s="394"/>
      <c r="C25" s="394"/>
      <c r="D25" s="394"/>
      <c r="E25" s="394"/>
      <c r="F25" s="394"/>
      <c r="G25" s="397"/>
      <c r="H25" s="397"/>
      <c r="I25" s="395"/>
      <c r="J25" s="394"/>
      <c r="K25" s="394"/>
      <c r="L25" s="394"/>
      <c r="M25" s="394"/>
    </row>
  </sheetData>
  <pageMargins left="0.7" right="0.7" top="0.75" bottom="0.75" header="0.3" footer="0.3"/>
  <picture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F2B7-0448-4206-87F3-695ED0656292}">
  <sheetPr codeName="Sheet19"/>
  <dimension ref="A1:P2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9" sqref="M19"/>
    </sheetView>
  </sheetViews>
  <sheetFormatPr baseColWidth="10" defaultColWidth="8.83203125" defaultRowHeight="15" x14ac:dyDescent="0.2"/>
  <cols>
    <col min="1" max="1" width="3.1640625" style="348" customWidth="1"/>
    <col min="2" max="2" width="3.6640625" customWidth="1"/>
    <col min="3" max="3" width="17.33203125" customWidth="1"/>
    <col min="4" max="4" width="4.6640625" customWidth="1"/>
    <col min="5" max="5" width="13" customWidth="1"/>
    <col min="6" max="6" width="12.83203125" customWidth="1"/>
    <col min="7" max="7" width="11.6640625" customWidth="1"/>
    <col min="8" max="8" width="4.6640625" customWidth="1"/>
    <col min="9" max="9" width="14" customWidth="1"/>
    <col min="11" max="11" width="10.33203125" customWidth="1"/>
    <col min="12" max="12" width="4" customWidth="1"/>
    <col min="13" max="13" width="12.33203125" customWidth="1"/>
    <col min="14" max="14" width="11.83203125" customWidth="1"/>
    <col min="15" max="15" width="11.6640625" customWidth="1"/>
  </cols>
  <sheetData>
    <row r="1" spans="1:16" s="348" customFormat="1" ht="16" x14ac:dyDescent="0.2">
      <c r="A1" s="357"/>
      <c r="B1" s="358"/>
      <c r="C1" s="359"/>
      <c r="D1" s="360"/>
      <c r="E1" s="360"/>
      <c r="F1" s="360"/>
      <c r="G1" s="360"/>
      <c r="H1" s="360"/>
      <c r="I1" s="358"/>
      <c r="J1" s="358"/>
      <c r="K1" s="358"/>
      <c r="L1" s="358"/>
      <c r="M1" s="358"/>
    </row>
    <row r="2" spans="1:16" ht="16" x14ac:dyDescent="0.2">
      <c r="A2" s="357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6" x14ac:dyDescent="0.2">
      <c r="A3" s="35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ht="16" x14ac:dyDescent="0.2">
      <c r="A4" s="357"/>
      <c r="B4" s="17"/>
      <c r="C4" s="179" t="s">
        <v>247</v>
      </c>
      <c r="D4" s="155"/>
      <c r="E4" s="180"/>
      <c r="F4" s="181" t="s">
        <v>231</v>
      </c>
      <c r="G4" s="182"/>
      <c r="H4" s="17"/>
      <c r="I4" s="180"/>
      <c r="J4" s="181" t="s">
        <v>37</v>
      </c>
      <c r="K4" s="182"/>
      <c r="L4" s="17"/>
      <c r="M4" s="180"/>
      <c r="N4" s="181" t="s">
        <v>232</v>
      </c>
      <c r="O4" s="182"/>
      <c r="P4" s="17"/>
    </row>
    <row r="5" spans="1:16" ht="16" x14ac:dyDescent="0.2">
      <c r="A5" s="357"/>
      <c r="B5" s="17"/>
      <c r="C5" s="183" t="s">
        <v>248</v>
      </c>
      <c r="D5" s="177"/>
      <c r="E5" s="184" t="s">
        <v>249</v>
      </c>
      <c r="F5" s="177" t="s">
        <v>250</v>
      </c>
      <c r="G5" s="185" t="s">
        <v>251</v>
      </c>
      <c r="H5" s="18"/>
      <c r="I5" s="184"/>
      <c r="J5" s="177" t="s">
        <v>42</v>
      </c>
      <c r="K5" s="185" t="s">
        <v>252</v>
      </c>
      <c r="L5" s="17"/>
      <c r="M5" s="186" t="s">
        <v>249</v>
      </c>
      <c r="N5" s="187" t="s">
        <v>250</v>
      </c>
      <c r="O5" s="188" t="s">
        <v>251</v>
      </c>
      <c r="P5" s="17"/>
    </row>
    <row r="6" spans="1:16" ht="16" x14ac:dyDescent="0.2">
      <c r="A6" s="357"/>
      <c r="B6" s="17"/>
      <c r="C6" s="165">
        <v>1</v>
      </c>
      <c r="D6" s="166"/>
      <c r="E6" s="167">
        <v>35</v>
      </c>
      <c r="F6" s="166">
        <v>20</v>
      </c>
      <c r="G6" s="168">
        <v>15</v>
      </c>
      <c r="H6" s="18"/>
      <c r="I6" s="169" t="s">
        <v>253</v>
      </c>
      <c r="J6" s="194">
        <v>75</v>
      </c>
      <c r="K6" s="195">
        <f>$J$6+$J$7*C6</f>
        <v>80.5</v>
      </c>
      <c r="L6" s="17"/>
      <c r="M6" s="417">
        <f>E6-$K6</f>
        <v>-45.5</v>
      </c>
      <c r="N6" s="417">
        <f t="shared" ref="N6:O6" si="0">F6-$K6</f>
        <v>-60.5</v>
      </c>
      <c r="O6" s="417">
        <f t="shared" si="0"/>
        <v>-65.5</v>
      </c>
      <c r="P6" s="17"/>
    </row>
    <row r="7" spans="1:16" ht="16" x14ac:dyDescent="0.2">
      <c r="A7" s="357"/>
      <c r="B7" s="17"/>
      <c r="C7" s="165">
        <v>2</v>
      </c>
      <c r="D7" s="166"/>
      <c r="E7" s="167">
        <v>55</v>
      </c>
      <c r="F7" s="166">
        <v>39</v>
      </c>
      <c r="G7" s="168">
        <v>30</v>
      </c>
      <c r="H7" s="18"/>
      <c r="I7" s="169" t="s">
        <v>254</v>
      </c>
      <c r="J7" s="194">
        <v>5.5</v>
      </c>
      <c r="K7" s="195">
        <f t="shared" ref="K7:K11" si="1">$J$6+$J$7*C7</f>
        <v>86</v>
      </c>
      <c r="L7" s="17"/>
      <c r="M7" s="196">
        <f t="shared" ref="M7:M11" si="2">E7-$K7</f>
        <v>-31</v>
      </c>
      <c r="N7" s="197">
        <f t="shared" ref="N7:N11" si="3">F7-$K7</f>
        <v>-47</v>
      </c>
      <c r="O7" s="198">
        <f t="shared" ref="O7:O11" si="4">G7-$K7</f>
        <v>-56</v>
      </c>
      <c r="P7" s="17"/>
    </row>
    <row r="8" spans="1:16" ht="16" x14ac:dyDescent="0.2">
      <c r="A8" s="357"/>
      <c r="B8" s="17"/>
      <c r="C8" s="165">
        <v>3</v>
      </c>
      <c r="D8" s="166"/>
      <c r="E8" s="167">
        <v>73</v>
      </c>
      <c r="F8" s="166">
        <v>47</v>
      </c>
      <c r="G8" s="168">
        <v>45</v>
      </c>
      <c r="H8" s="18"/>
      <c r="I8" s="169"/>
      <c r="J8" s="170"/>
      <c r="K8" s="195">
        <f t="shared" si="1"/>
        <v>91.5</v>
      </c>
      <c r="L8" s="17"/>
      <c r="M8" s="196">
        <f t="shared" si="2"/>
        <v>-18.5</v>
      </c>
      <c r="N8" s="197">
        <f t="shared" si="3"/>
        <v>-44.5</v>
      </c>
      <c r="O8" s="198">
        <f t="shared" si="4"/>
        <v>-46.5</v>
      </c>
      <c r="P8" s="17"/>
    </row>
    <row r="9" spans="1:16" ht="16" x14ac:dyDescent="0.2">
      <c r="A9" s="357"/>
      <c r="B9" s="17"/>
      <c r="C9" s="165">
        <v>4</v>
      </c>
      <c r="D9" s="166"/>
      <c r="E9" s="167">
        <v>89</v>
      </c>
      <c r="F9" s="166">
        <v>64</v>
      </c>
      <c r="G9" s="168">
        <v>60</v>
      </c>
      <c r="H9" s="18"/>
      <c r="I9" s="169"/>
      <c r="J9" s="170"/>
      <c r="K9" s="195">
        <f t="shared" si="1"/>
        <v>97</v>
      </c>
      <c r="L9" s="17"/>
      <c r="M9" s="196">
        <f t="shared" si="2"/>
        <v>-8</v>
      </c>
      <c r="N9" s="197">
        <f t="shared" si="3"/>
        <v>-33</v>
      </c>
      <c r="O9" s="198">
        <f t="shared" si="4"/>
        <v>-37</v>
      </c>
      <c r="P9" s="17"/>
    </row>
    <row r="10" spans="1:16" ht="16" x14ac:dyDescent="0.2">
      <c r="A10" s="357"/>
      <c r="B10" s="17"/>
      <c r="C10" s="165">
        <v>5</v>
      </c>
      <c r="D10" s="166"/>
      <c r="E10" s="167">
        <v>99</v>
      </c>
      <c r="F10" s="166">
        <v>64</v>
      </c>
      <c r="G10" s="168">
        <v>75</v>
      </c>
      <c r="H10" s="18"/>
      <c r="I10" s="169"/>
      <c r="J10" s="170"/>
      <c r="K10" s="195">
        <f t="shared" si="1"/>
        <v>102.5</v>
      </c>
      <c r="L10" s="17"/>
      <c r="M10" s="196">
        <f t="shared" si="2"/>
        <v>-3.5</v>
      </c>
      <c r="N10" s="197">
        <f t="shared" si="3"/>
        <v>-38.5</v>
      </c>
      <c r="O10" s="198">
        <f t="shared" si="4"/>
        <v>-27.5</v>
      </c>
      <c r="P10" s="17"/>
    </row>
    <row r="11" spans="1:16" ht="16" x14ac:dyDescent="0.2">
      <c r="A11" s="357"/>
      <c r="B11" s="17"/>
      <c r="C11" s="171">
        <v>6</v>
      </c>
      <c r="D11" s="166"/>
      <c r="E11" s="172">
        <v>109</v>
      </c>
      <c r="F11" s="173">
        <v>64</v>
      </c>
      <c r="G11" s="174">
        <v>90</v>
      </c>
      <c r="H11" s="18"/>
      <c r="I11" s="175"/>
      <c r="J11" s="176"/>
      <c r="K11" s="195">
        <f t="shared" si="1"/>
        <v>108</v>
      </c>
      <c r="L11" s="17"/>
      <c r="M11" s="199">
        <f t="shared" si="2"/>
        <v>1</v>
      </c>
      <c r="N11" s="200">
        <f t="shared" si="3"/>
        <v>-44</v>
      </c>
      <c r="O11" s="201">
        <f t="shared" si="4"/>
        <v>-18</v>
      </c>
      <c r="P11" s="17"/>
    </row>
    <row r="12" spans="1:16" ht="16" x14ac:dyDescent="0.2">
      <c r="A12" s="357"/>
      <c r="B12" s="17"/>
      <c r="C12" s="156"/>
      <c r="D12" s="156"/>
      <c r="E12" s="156"/>
      <c r="F12" s="156"/>
      <c r="G12" s="156"/>
      <c r="H12" s="156"/>
      <c r="I12" s="156"/>
      <c r="J12" s="156"/>
      <c r="K12" s="26"/>
      <c r="L12" s="17"/>
      <c r="M12" s="157"/>
      <c r="N12" s="157"/>
      <c r="O12" s="157"/>
      <c r="P12" s="17"/>
    </row>
    <row r="13" spans="1:16" ht="16" x14ac:dyDescent="0.2">
      <c r="A13" s="357"/>
      <c r="B13" s="17"/>
      <c r="C13" s="155"/>
      <c r="D13" s="155"/>
      <c r="E13" s="155"/>
      <c r="F13" s="155"/>
      <c r="G13" s="17"/>
      <c r="H13" s="17"/>
      <c r="I13" s="17"/>
      <c r="J13" s="17"/>
      <c r="K13" s="189" t="s">
        <v>242</v>
      </c>
      <c r="L13" s="158"/>
      <c r="M13" s="203">
        <f>MAX(M6:M11)</f>
        <v>1</v>
      </c>
      <c r="N13" s="203">
        <f t="shared" ref="N13:O13" si="5">MAX(N6:N11)</f>
        <v>-33</v>
      </c>
      <c r="O13" s="203">
        <f t="shared" si="5"/>
        <v>-18</v>
      </c>
      <c r="P13" s="17"/>
    </row>
    <row r="14" spans="1:16" ht="16" x14ac:dyDescent="0.2">
      <c r="A14" s="357"/>
      <c r="B14" s="17"/>
      <c r="C14" s="17"/>
      <c r="D14" s="17"/>
      <c r="E14" s="155"/>
      <c r="F14" s="170"/>
      <c r="G14" s="192"/>
      <c r="H14" s="17"/>
      <c r="I14" s="17"/>
      <c r="J14" s="17"/>
      <c r="K14" s="190" t="s">
        <v>255</v>
      </c>
      <c r="L14" s="17"/>
      <c r="M14" s="204">
        <f>IF(M13&lt;0,0,MATCH(M13,M6:M11,0))</f>
        <v>6</v>
      </c>
      <c r="N14" s="204">
        <f>IF(N13&lt;0,0,MATCH(N13,N6:N11,0))</f>
        <v>0</v>
      </c>
      <c r="O14" s="204">
        <f>IF(O13&lt;0,0,MATCH(O13,O6:O11,0))</f>
        <v>0</v>
      </c>
      <c r="P14" s="17"/>
    </row>
    <row r="15" spans="1:16" ht="16" x14ac:dyDescent="0.2">
      <c r="A15" s="357"/>
      <c r="B15" s="17"/>
      <c r="C15" s="17"/>
      <c r="D15" s="17"/>
      <c r="E15" s="155"/>
      <c r="F15" s="170"/>
      <c r="G15" s="192"/>
      <c r="H15" s="17"/>
      <c r="I15" s="17"/>
      <c r="J15" s="17"/>
      <c r="K15" s="191" t="s">
        <v>230</v>
      </c>
      <c r="L15" s="159"/>
      <c r="M15" s="202">
        <f>IF(M14=0,0,$J$6+$J$7*M14)</f>
        <v>108</v>
      </c>
      <c r="N15" s="202">
        <f t="shared" ref="N15" si="6">IF(N14=0,0,$J$6+$J$7*N14)</f>
        <v>0</v>
      </c>
      <c r="O15" s="202">
        <f>IF(O14=0,0,$J$6+$J$7*O14)</f>
        <v>0</v>
      </c>
      <c r="P15" s="17"/>
    </row>
    <row r="16" spans="1:16" ht="16" x14ac:dyDescent="0.2">
      <c r="A16" s="357"/>
      <c r="B16" s="155"/>
      <c r="C16" s="155"/>
      <c r="D16" s="155"/>
      <c r="E16" s="155"/>
      <c r="F16" s="155"/>
      <c r="G16" s="155"/>
      <c r="H16" s="17"/>
      <c r="I16" s="17"/>
      <c r="J16" s="17"/>
      <c r="K16" s="17"/>
      <c r="L16" s="17"/>
      <c r="M16" s="17"/>
      <c r="N16" s="17"/>
      <c r="O16" s="17"/>
      <c r="P16" s="17"/>
    </row>
    <row r="17" spans="1:16" ht="16" x14ac:dyDescent="0.2">
      <c r="A17" s="357"/>
      <c r="B17" s="17"/>
      <c r="C17" s="17"/>
      <c r="D17" s="17"/>
      <c r="E17" s="155"/>
      <c r="F17" s="170"/>
      <c r="G17" s="192"/>
      <c r="H17" s="17"/>
      <c r="I17" s="17"/>
      <c r="J17" s="17"/>
      <c r="K17" s="189" t="s">
        <v>256</v>
      </c>
      <c r="L17" s="158"/>
      <c r="M17" s="158">
        <v>12</v>
      </c>
      <c r="N17" s="160"/>
      <c r="O17" s="161"/>
      <c r="P17" s="17"/>
    </row>
    <row r="18" spans="1:16" ht="16" x14ac:dyDescent="0.2">
      <c r="A18" s="357"/>
      <c r="B18" s="17"/>
      <c r="C18" s="17"/>
      <c r="D18" s="17"/>
      <c r="E18" s="155"/>
      <c r="F18" s="170"/>
      <c r="G18" s="192"/>
      <c r="H18" s="26"/>
      <c r="I18" s="26"/>
      <c r="J18" s="26"/>
      <c r="K18" s="190" t="s">
        <v>40</v>
      </c>
      <c r="L18" s="17"/>
      <c r="M18" s="197">
        <f>SUM(M14:O14)*M17</f>
        <v>72</v>
      </c>
      <c r="N18" s="162"/>
      <c r="O18" s="163"/>
      <c r="P18" s="17"/>
    </row>
    <row r="19" spans="1:16" ht="16" x14ac:dyDescent="0.2">
      <c r="A19" s="357"/>
      <c r="B19" s="17"/>
      <c r="C19" s="17"/>
      <c r="D19" s="17"/>
      <c r="E19" s="155"/>
      <c r="F19" s="155"/>
      <c r="G19" s="155"/>
      <c r="H19" s="26"/>
      <c r="I19" s="26"/>
      <c r="J19" s="26"/>
      <c r="K19" s="191" t="s">
        <v>244</v>
      </c>
      <c r="L19" s="159"/>
      <c r="M19" s="430">
        <f>SUM(M15:O15)-M18</f>
        <v>36</v>
      </c>
      <c r="N19" s="159"/>
      <c r="O19" s="164"/>
      <c r="P19" s="17"/>
    </row>
    <row r="20" spans="1:16" ht="16" x14ac:dyDescent="0.2">
      <c r="A20" s="357"/>
      <c r="B20" s="17"/>
      <c r="C20" s="17"/>
      <c r="D20" s="17"/>
      <c r="E20" s="155"/>
      <c r="F20" s="170"/>
      <c r="G20" s="192"/>
      <c r="H20" s="193"/>
      <c r="I20" s="17"/>
      <c r="J20" s="17"/>
      <c r="K20" s="17"/>
      <c r="L20" s="17"/>
      <c r="M20" s="17"/>
      <c r="N20" s="17"/>
      <c r="O20" s="17"/>
      <c r="P20" s="17"/>
    </row>
    <row r="21" spans="1:16" ht="16" x14ac:dyDescent="0.2">
      <c r="A21" s="357"/>
      <c r="B21" s="394"/>
      <c r="C21" s="398"/>
      <c r="D21" s="399"/>
      <c r="E21" s="399"/>
      <c r="F21" s="400"/>
      <c r="G21" s="401"/>
      <c r="H21" s="394"/>
      <c r="I21" s="402"/>
      <c r="J21" s="403"/>
      <c r="K21" s="402"/>
      <c r="L21" s="402"/>
      <c r="M21" s="404"/>
    </row>
    <row r="22" spans="1:16" ht="16" x14ac:dyDescent="0.2">
      <c r="A22" s="357"/>
      <c r="B22" s="394"/>
      <c r="C22" s="398"/>
      <c r="D22" s="399"/>
      <c r="E22" s="399"/>
      <c r="F22" s="399"/>
      <c r="G22" s="394"/>
      <c r="H22" s="394"/>
      <c r="I22" s="402"/>
      <c r="J22" s="403"/>
      <c r="K22" s="402"/>
      <c r="L22" s="402"/>
      <c r="M22" s="404"/>
    </row>
    <row r="23" spans="1:16" ht="16" x14ac:dyDescent="0.2">
      <c r="A23" s="357"/>
      <c r="B23" s="394"/>
      <c r="C23" s="398"/>
      <c r="D23" s="399"/>
      <c r="E23" s="399"/>
      <c r="F23" s="399"/>
      <c r="G23" s="394"/>
      <c r="H23" s="394"/>
      <c r="I23" s="402"/>
      <c r="J23" s="402"/>
      <c r="K23" s="402"/>
      <c r="L23" s="402"/>
      <c r="M23" s="54"/>
    </row>
    <row r="24" spans="1:16" x14ac:dyDescent="0.2">
      <c r="A24" s="357"/>
    </row>
  </sheetData>
  <conditionalFormatting sqref="M6:O10 H12:J12 M13:O15 N17:O18 M18:M19">
    <cfRule type="cellIs" dxfId="1" priority="3" operator="lessThan">
      <formula>0</formula>
    </cfRule>
  </conditionalFormatting>
  <conditionalFormatting sqref="O11">
    <cfRule type="cellIs" dxfId="0" priority="1" operator="lessThan">
      <formula>0</formula>
    </cfRule>
  </conditionalFormatting>
  <pageMargins left="0.7" right="0.7" top="0.75" bottom="0.75" header="0.3" footer="0.3"/>
  <picture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a0f9ff5e-611d-48f2-a1e1-cfbc34a150d1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E2C7C333F801742A08A4421C02826F1" ma:contentTypeVersion="9" ma:contentTypeDescription="Ein neues Dokument erstellen." ma:contentTypeScope="" ma:versionID="223191ba561bcbcc70c3c0a94338bd11">
  <xsd:schema xmlns:xsd="http://www.w3.org/2001/XMLSchema" xmlns:xs="http://www.w3.org/2001/XMLSchema" xmlns:p="http://schemas.microsoft.com/office/2006/metadata/properties" xmlns:ns2="b74bb68b-270e-435c-9a96-667e0fda2f60" xmlns:ns3="a0f9ff5e-611d-48f2-a1e1-cfbc34a150d1" targetNamespace="http://schemas.microsoft.com/office/2006/metadata/properties" ma:root="true" ma:fieldsID="06018a7e376cd5e3bda4592db7aae4b5" ns2:_="" ns3:_="">
    <xsd:import namespace="b74bb68b-270e-435c-9a96-667e0fda2f60"/>
    <xsd:import namespace="a0f9ff5e-611d-48f2-a1e1-cfbc34a150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4bb68b-270e-435c-9a96-667e0fda2f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f9ff5e-611d-48f2-a1e1-cfbc34a150d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BCBC7B6-712F-4634-9DAF-48620FAD4141}">
  <ds:schemaRefs>
    <ds:schemaRef ds:uri="b74bb68b-270e-435c-9a96-667e0fda2f60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  <ds:schemaRef ds:uri="a0f9ff5e-611d-48f2-a1e1-cfbc34a150d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764DFD0-EB92-49BE-98AE-5A14C26C80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F1A337-A284-4CB5-ADAA-60506F7772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4bb68b-270e-435c-9a96-667e0fda2f60"/>
    <ds:schemaRef ds:uri="a0f9ff5e-611d-48f2-a1e1-cfbc34a150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4</vt:lpstr>
      <vt:lpstr>5</vt:lpstr>
      <vt:lpstr>6</vt:lpstr>
      <vt:lpstr>10</vt:lpstr>
      <vt:lpstr>11</vt:lpstr>
      <vt:lpstr>12</vt:lpstr>
      <vt:lpstr>16</vt:lpstr>
      <vt:lpstr>17</vt:lpstr>
      <vt:lpstr>18</vt:lpstr>
      <vt:lpstr>22</vt:lpstr>
      <vt:lpstr>23</vt:lpstr>
      <vt:lpstr>24</vt:lpstr>
      <vt:lpstr>28</vt:lpstr>
      <vt:lpstr>29</vt:lpstr>
      <vt:lpstr>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Raphel Kaufmann</cp:lastModifiedBy>
  <dcterms:modified xsi:type="dcterms:W3CDTF">2026-06-20T21:58:14Z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0x010100F063C7F7A16F2A4FBA5AFA08D0C42086</vt:lpwstr>
  </property>
</Properties>
</file>
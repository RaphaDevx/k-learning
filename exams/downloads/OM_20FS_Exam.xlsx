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aetstgallen-my.sharepoint.com/personal/florian_wirth_unisg_ch/Documents/Operations Management/EOM 2020/Exam 2020/"/>
    </mc:Choice>
  </mc:AlternateContent>
  <xr:revisionPtr revIDLastSave="35" documentId="8_{83EDDE98-B9F2-4396-8499-19CF058D57E4}" xr6:coauthVersionLast="45" xr6:coauthVersionMax="45" xr10:uidLastSave="{E6CA5299-B0CA-4B9E-82AD-557D677D867E}"/>
  <bookViews>
    <workbookView xWindow="2775" yWindow="2775" windowWidth="21600" windowHeight="11325" tabRatio="620" xr2:uid="{B706219D-77DE-4224-8AFA-A018A7D19027}"/>
  </bookViews>
  <sheets>
    <sheet name="Deckblatt" sheetId="54" r:id="rId1"/>
    <sheet name="1a" sheetId="5" r:id="rId2"/>
    <sheet name="2" sheetId="28" r:id="rId3"/>
    <sheet name="3" sheetId="22" r:id="rId4"/>
    <sheet name="4a" sheetId="29" r:id="rId5"/>
    <sheet name="4b" sheetId="31" r:id="rId6"/>
    <sheet name="5" sheetId="53" r:id="rId7"/>
    <sheet name="6" sheetId="37" r:id="rId8"/>
    <sheet name="7" sheetId="39" r:id="rId9"/>
    <sheet name="8" sheetId="44" r:id="rId10"/>
    <sheet name="9b" sheetId="48" r:id="rId11"/>
    <sheet name="10" sheetId="49" r:id="rId12"/>
    <sheet name="11" sheetId="52" r:id="rId13"/>
  </sheets>
  <definedNames>
    <definedName name="AnzahlBestellungen" localSheetId="6">'5'!$C$9</definedName>
    <definedName name="AnzahlBestellungen">#REF!</definedName>
    <definedName name="Arbeitswochen" localSheetId="6">'5'!$C$7</definedName>
    <definedName name="Arbeitswochen">#REF!</definedName>
    <definedName name="Lagerkosten" localSheetId="6">'5'!$C$5</definedName>
    <definedName name="Lagerkosten">#REF!</definedName>
    <definedName name="Lieferzeit" localSheetId="6">'5'!$C$8</definedName>
    <definedName name="Lieferzeit">#REF!</definedName>
    <definedName name="Produktpreis" localSheetId="6">'5'!$C$4</definedName>
    <definedName name="Produktpreis">#REF!</definedName>
    <definedName name="solver_cvg" localSheetId="12" hidden="1">0.0001</definedName>
    <definedName name="solver_drv" localSheetId="12" hidden="1">2</definedName>
    <definedName name="solver_eng" localSheetId="12" hidden="1">1</definedName>
    <definedName name="solver_eng" localSheetId="7" hidden="1">1</definedName>
    <definedName name="solver_eng" localSheetId="8" hidden="1">1</definedName>
    <definedName name="solver_eng" localSheetId="0" hidden="1">1</definedName>
    <definedName name="solver_est" localSheetId="12" hidden="1">1</definedName>
    <definedName name="solver_itr" localSheetId="12" hidden="1">2147483647</definedName>
    <definedName name="solver_lhs1" localSheetId="12" hidden="1">'11'!#REF!</definedName>
    <definedName name="solver_lhs2" localSheetId="12" hidden="1">'11'!#REF!</definedName>
    <definedName name="solver_mip" localSheetId="12" hidden="1">2147483647</definedName>
    <definedName name="solver_mni" localSheetId="12" hidden="1">30</definedName>
    <definedName name="solver_mrt" localSheetId="12" hidden="1">0.075</definedName>
    <definedName name="solver_msl" localSheetId="12" hidden="1">2</definedName>
    <definedName name="solver_neg" localSheetId="12" hidden="1">1</definedName>
    <definedName name="solver_neg" localSheetId="7" hidden="1">1</definedName>
    <definedName name="solver_neg" localSheetId="8" hidden="1">1</definedName>
    <definedName name="solver_neg" localSheetId="0" hidden="1">1</definedName>
    <definedName name="solver_nod" localSheetId="12" hidden="1">2147483647</definedName>
    <definedName name="solver_num" localSheetId="12" hidden="1">0</definedName>
    <definedName name="solver_num" localSheetId="7" hidden="1">0</definedName>
    <definedName name="solver_num" localSheetId="8" hidden="1">0</definedName>
    <definedName name="solver_num" localSheetId="0" hidden="1">0</definedName>
    <definedName name="solver_nwt" localSheetId="12" hidden="1">1</definedName>
    <definedName name="solver_opt" localSheetId="7" hidden="1">'6'!$G$27</definedName>
    <definedName name="solver_opt" localSheetId="8" hidden="1">'7'!$D$27</definedName>
    <definedName name="solver_pre" localSheetId="12" hidden="1">0.000001</definedName>
    <definedName name="solver_rbv" localSheetId="12" hidden="1">2</definedName>
    <definedName name="solver_rel1" localSheetId="12" hidden="1">1</definedName>
    <definedName name="solver_rel2" localSheetId="12" hidden="1">2</definedName>
    <definedName name="solver_rhs1" localSheetId="12" hidden="1">'11'!#REF!</definedName>
    <definedName name="solver_rhs2" localSheetId="12" hidden="1">'11'!#REF!</definedName>
    <definedName name="solver_rlx" localSheetId="12" hidden="1">2</definedName>
    <definedName name="solver_rsd" localSheetId="12" hidden="1">0</definedName>
    <definedName name="solver_scl" localSheetId="12" hidden="1">2</definedName>
    <definedName name="solver_sho" localSheetId="12" hidden="1">2</definedName>
    <definedName name="solver_ssz" localSheetId="12" hidden="1">100</definedName>
    <definedName name="solver_tim" localSheetId="12" hidden="1">2147483647</definedName>
    <definedName name="solver_tol" localSheetId="12" hidden="1">0.01</definedName>
    <definedName name="solver_typ" localSheetId="12" hidden="1">1</definedName>
    <definedName name="solver_typ" localSheetId="7" hidden="1">1</definedName>
    <definedName name="solver_typ" localSheetId="8" hidden="1">1</definedName>
    <definedName name="solver_typ" localSheetId="0" hidden="1">1</definedName>
    <definedName name="solver_val" localSheetId="12" hidden="1">0</definedName>
    <definedName name="solver_val" localSheetId="7" hidden="1">0</definedName>
    <definedName name="solver_val" localSheetId="8" hidden="1">0</definedName>
    <definedName name="solver_val" localSheetId="0" hidden="1">0</definedName>
    <definedName name="solver_ver" localSheetId="12" hidden="1">3</definedName>
    <definedName name="solver_ver" localSheetId="7" hidden="1">3</definedName>
    <definedName name="solver_ver" localSheetId="8" hidden="1">3</definedName>
    <definedName name="solver_ver" localSheetId="0" hidden="1">3</definedName>
    <definedName name="Unterlagerkosten" localSheetId="6">'5'!$C$6</definedName>
    <definedName name="Unterlagerkosten">#REF!</definedName>
    <definedName name="z_valu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1" i="39" l="1"/>
  <c r="F9" i="37" l="1"/>
  <c r="H21" i="48" l="1"/>
  <c r="E21" i="48"/>
  <c r="D10" i="37" l="1"/>
  <c r="J10" i="37" l="1"/>
  <c r="D11" i="37" s="1"/>
  <c r="F10" i="37"/>
  <c r="E20" i="48"/>
  <c r="C20" i="48"/>
  <c r="B20" i="48"/>
  <c r="V8" i="44"/>
  <c r="V9" i="44" s="1"/>
  <c r="F6" i="44"/>
  <c r="F11" i="37" l="1"/>
  <c r="J11" i="37"/>
  <c r="D12" i="37" s="1"/>
  <c r="O5" i="48"/>
  <c r="P5" i="48" s="1"/>
  <c r="G20" i="48"/>
  <c r="H20" i="48"/>
  <c r="G24" i="44"/>
  <c r="V10" i="44"/>
  <c r="V11" i="44" s="1"/>
  <c r="G28" i="44"/>
  <c r="J12" i="37" l="1"/>
  <c r="D13" i="37" s="1"/>
  <c r="F12" i="37"/>
  <c r="G23" i="44"/>
  <c r="V12" i="44"/>
  <c r="G17" i="44"/>
  <c r="G18" i="44"/>
  <c r="G21" i="44"/>
  <c r="G12" i="44"/>
  <c r="G19" i="44"/>
  <c r="G29" i="44"/>
  <c r="G22" i="44"/>
  <c r="G11" i="44"/>
  <c r="G16" i="44"/>
  <c r="G20" i="44"/>
  <c r="G7" i="44"/>
  <c r="G25" i="44"/>
  <c r="G8" i="44"/>
  <c r="G26" i="44"/>
  <c r="G30" i="44"/>
  <c r="G6" i="44"/>
  <c r="G15" i="44"/>
  <c r="G9" i="44"/>
  <c r="G10" i="44"/>
  <c r="G14" i="44"/>
  <c r="G27" i="44"/>
  <c r="G13" i="44"/>
  <c r="F13" i="37" l="1"/>
  <c r="J13" i="37"/>
  <c r="D14" i="37" s="1"/>
  <c r="O6" i="48"/>
  <c r="P6" i="48" s="1"/>
  <c r="H6" i="44"/>
  <c r="J6" i="44" s="1"/>
  <c r="F14" i="37" l="1"/>
  <c r="J14" i="37"/>
  <c r="D15" i="37" s="1"/>
  <c r="L6" i="44"/>
  <c r="M6" i="44" s="1"/>
  <c r="D7" i="44"/>
  <c r="P6" i="44"/>
  <c r="I6" i="44"/>
  <c r="Q6" i="44" s="1"/>
  <c r="F15" i="37" l="1"/>
  <c r="J15" i="37"/>
  <c r="D16" i="37" s="1"/>
  <c r="R6" i="44"/>
  <c r="N6" i="44"/>
  <c r="O6" i="44" s="1"/>
  <c r="F16" i="37" l="1"/>
  <c r="J16" i="37"/>
  <c r="D17" i="37" s="1"/>
  <c r="E7" i="44"/>
  <c r="F7" i="44" s="1"/>
  <c r="K7" i="44"/>
  <c r="J17" i="37" l="1"/>
  <c r="D18" i="37" s="1"/>
  <c r="F17" i="37"/>
  <c r="H7" i="44"/>
  <c r="I7" i="44" s="1"/>
  <c r="Q7" i="44" s="1"/>
  <c r="J18" i="37" l="1"/>
  <c r="D19" i="37" s="1"/>
  <c r="F18" i="37"/>
  <c r="J7" i="44"/>
  <c r="J19" i="37" l="1"/>
  <c r="D20" i="37" s="1"/>
  <c r="F19" i="37"/>
  <c r="D8" i="44"/>
  <c r="L7" i="44"/>
  <c r="M7" i="44" s="1"/>
  <c r="P7" i="44"/>
  <c r="J20" i="37" l="1"/>
  <c r="F20" i="37"/>
  <c r="N7" i="44"/>
  <c r="R7" i="44"/>
  <c r="O7" i="44"/>
  <c r="K8" i="44" l="1"/>
  <c r="E8" i="44"/>
  <c r="F8" i="44" s="1"/>
  <c r="H8" i="44" l="1"/>
  <c r="I8" i="44" s="1"/>
  <c r="Q8" i="44" s="1"/>
  <c r="J8" i="44" l="1"/>
  <c r="D9" i="44" l="1"/>
  <c r="L8" i="44"/>
  <c r="M8" i="44" s="1"/>
  <c r="P8" i="44"/>
  <c r="O8" i="44" l="1"/>
  <c r="N8" i="44"/>
  <c r="R8" i="44"/>
  <c r="E9" i="44" l="1"/>
  <c r="F9" i="44" s="1"/>
  <c r="K9" i="44"/>
  <c r="H9" i="44" l="1"/>
  <c r="I9" i="44" s="1"/>
  <c r="Q9" i="44" s="1"/>
  <c r="J9" i="44" l="1"/>
  <c r="D10" i="44" l="1"/>
  <c r="L9" i="44"/>
  <c r="M9" i="44" s="1"/>
  <c r="P9" i="44"/>
  <c r="O9" i="44" l="1"/>
  <c r="N9" i="44"/>
  <c r="R9" i="44"/>
  <c r="E10" i="44" l="1"/>
  <c r="F10" i="44" s="1"/>
  <c r="K10" i="44"/>
  <c r="H10" i="44" l="1"/>
  <c r="I10" i="44" s="1"/>
  <c r="Q10" i="44" s="1"/>
  <c r="J10" i="44" l="1"/>
  <c r="D11" i="44" l="1"/>
  <c r="L10" i="44"/>
  <c r="M10" i="44" s="1"/>
  <c r="P10" i="44"/>
  <c r="O10" i="44" l="1"/>
  <c r="N10" i="44"/>
  <c r="R10" i="44"/>
  <c r="E11" i="44" l="1"/>
  <c r="F11" i="44" s="1"/>
  <c r="K11" i="44"/>
  <c r="H11" i="44" l="1"/>
  <c r="I11" i="44" s="1"/>
  <c r="Q11" i="44" s="1"/>
  <c r="J11" i="44" l="1"/>
  <c r="D12" i="44" l="1"/>
  <c r="L11" i="44"/>
  <c r="M11" i="44" s="1"/>
  <c r="P11" i="44"/>
  <c r="N11" i="44" l="1"/>
  <c r="O11" i="44" s="1"/>
  <c r="R11" i="44"/>
  <c r="K12" i="44" l="1"/>
  <c r="E12" i="44"/>
  <c r="F12" i="44" s="1"/>
  <c r="H12" i="44" l="1"/>
  <c r="I12" i="44" s="1"/>
  <c r="Q12" i="44" s="1"/>
  <c r="J12" i="44" l="1"/>
  <c r="D13" i="44" l="1"/>
  <c r="L12" i="44"/>
  <c r="M12" i="44" s="1"/>
  <c r="P12" i="44"/>
  <c r="N12" i="44" l="1"/>
  <c r="O12" i="44" s="1"/>
  <c r="R12" i="44"/>
  <c r="E13" i="44" l="1"/>
  <c r="F13" i="44" s="1"/>
  <c r="K13" i="44"/>
  <c r="H13" i="44" l="1"/>
  <c r="I13" i="44" s="1"/>
  <c r="Q13" i="44" s="1"/>
  <c r="J13" i="44" l="1"/>
  <c r="L13" i="44" l="1"/>
  <c r="M13" i="44" s="1"/>
  <c r="D14" i="44"/>
  <c r="P13" i="44"/>
  <c r="N13" i="44" l="1"/>
  <c r="O13" i="44" s="1"/>
  <c r="R13" i="44"/>
  <c r="E14" i="44" l="1"/>
  <c r="F14" i="44" s="1"/>
  <c r="K14" i="44"/>
  <c r="H14" i="44" l="1"/>
  <c r="I14" i="44" s="1"/>
  <c r="Q14" i="44" s="1"/>
  <c r="J14" i="44" l="1"/>
  <c r="P14" i="44" s="1"/>
  <c r="D15" i="44" l="1"/>
  <c r="L14" i="44"/>
  <c r="M14" i="44" s="1"/>
  <c r="N14" i="44" l="1"/>
  <c r="O14" i="44" s="1"/>
  <c r="E15" i="44" s="1"/>
  <c r="F15" i="44" s="1"/>
  <c r="R14" i="44"/>
  <c r="K15" i="44" l="1"/>
  <c r="H15" i="44"/>
  <c r="I15" i="44" s="1"/>
  <c r="Q15" i="44" s="1"/>
  <c r="J15" i="44" l="1"/>
  <c r="P15" i="44" l="1"/>
  <c r="D16" i="44"/>
  <c r="L15" i="44"/>
  <c r="M15" i="44" s="1"/>
  <c r="N15" i="44" l="1"/>
  <c r="O15" i="44" s="1"/>
  <c r="E16" i="44" s="1"/>
  <c r="F16" i="44" s="1"/>
  <c r="R15" i="44"/>
  <c r="K16" i="44" l="1"/>
  <c r="H16" i="44"/>
  <c r="I16" i="44" s="1"/>
  <c r="Q16" i="44" s="1"/>
  <c r="J16" i="44" l="1"/>
  <c r="L16" i="44" s="1"/>
  <c r="M16" i="44" s="1"/>
  <c r="R16" i="44" s="1"/>
  <c r="D17" i="44" l="1"/>
  <c r="N16" i="44"/>
  <c r="O16" i="44" s="1"/>
  <c r="P16" i="44"/>
  <c r="K17" i="44" l="1"/>
  <c r="E17" i="44"/>
  <c r="F17" i="44" s="1"/>
  <c r="H17" i="44" l="1"/>
  <c r="I17" i="44" s="1"/>
  <c r="Q17" i="44" s="1"/>
  <c r="J17" i="44" l="1"/>
  <c r="D18" i="44" s="1"/>
  <c r="P17" i="44" l="1"/>
  <c r="L17" i="44"/>
  <c r="M17" i="44" s="1"/>
  <c r="R17" i="44" s="1"/>
  <c r="N17" i="44" l="1"/>
  <c r="O17" i="44" s="1"/>
  <c r="E18" i="44" s="1"/>
  <c r="F18" i="44" s="1"/>
  <c r="K18" i="44" l="1"/>
  <c r="H18" i="44"/>
  <c r="I18" i="44" s="1"/>
  <c r="Q18" i="44" s="1"/>
  <c r="J18" i="44" l="1"/>
  <c r="L18" i="44" s="1"/>
  <c r="M18" i="44" s="1"/>
  <c r="R18" i="44" s="1"/>
  <c r="P18" i="44" l="1"/>
  <c r="D19" i="44"/>
  <c r="N18" i="44"/>
  <c r="O18" i="44" s="1"/>
  <c r="E19" i="44" l="1"/>
  <c r="F19" i="44" s="1"/>
  <c r="K19" i="44"/>
  <c r="H19" i="44" l="1"/>
  <c r="I19" i="44" s="1"/>
  <c r="Q19" i="44" s="1"/>
  <c r="J19" i="44" l="1"/>
  <c r="D20" i="44" s="1"/>
  <c r="P19" i="44" l="1"/>
  <c r="L19" i="44"/>
  <c r="M19" i="44" s="1"/>
  <c r="R19" i="44" l="1"/>
  <c r="N19" i="44"/>
  <c r="O19" i="44" s="1"/>
  <c r="E20" i="44" l="1"/>
  <c r="K20" i="44"/>
  <c r="F20" i="44" l="1"/>
  <c r="H20" i="44" s="1"/>
  <c r="J20" i="44" s="1"/>
  <c r="L20" i="44" s="1"/>
  <c r="M20" i="44" s="1"/>
  <c r="R20" i="44" s="1"/>
  <c r="I20" i="44" l="1"/>
  <c r="Q20" i="44" s="1"/>
  <c r="P20" i="44"/>
  <c r="D21" i="44"/>
  <c r="N20" i="44"/>
  <c r="O20" i="44" s="1"/>
  <c r="E21" i="44" s="1"/>
  <c r="F21" i="44" l="1"/>
  <c r="H21" i="44" s="1"/>
  <c r="K21" i="44"/>
  <c r="I21" i="44" l="1"/>
  <c r="Q21" i="44" s="1"/>
  <c r="J21" i="44" l="1"/>
  <c r="D22" i="44" l="1"/>
  <c r="L21" i="44"/>
  <c r="M21" i="44" s="1"/>
  <c r="P21" i="44"/>
  <c r="R21" i="44" l="1"/>
  <c r="N21" i="44"/>
  <c r="O21" i="44" s="1"/>
  <c r="E22" i="44" l="1"/>
  <c r="F22" i="44" s="1"/>
  <c r="K22" i="44"/>
  <c r="H22" i="44" l="1"/>
  <c r="I22" i="44" s="1"/>
  <c r="Q22" i="44" s="1"/>
  <c r="J22" i="44" l="1"/>
  <c r="L22" i="44" s="1"/>
  <c r="M22" i="44" s="1"/>
  <c r="R22" i="44" s="1"/>
  <c r="P22" i="44" l="1"/>
  <c r="D23" i="44"/>
  <c r="N22" i="44"/>
  <c r="O22" i="44" s="1"/>
  <c r="E23" i="44" l="1"/>
  <c r="F23" i="44" s="1"/>
  <c r="K23" i="44"/>
  <c r="H23" i="44" l="1"/>
  <c r="I23" i="44" s="1"/>
  <c r="Q23" i="44" s="1"/>
  <c r="J23" i="44" l="1"/>
  <c r="L23" i="44" s="1"/>
  <c r="M23" i="44" s="1"/>
  <c r="R23" i="44" s="1"/>
  <c r="D24" i="44" l="1"/>
  <c r="P23" i="44"/>
  <c r="N23" i="44"/>
  <c r="O23" i="44" s="1"/>
  <c r="E24" i="44" l="1"/>
  <c r="F24" i="44" s="1"/>
  <c r="K24" i="44"/>
  <c r="H24" i="44" l="1"/>
  <c r="I24" i="44" s="1"/>
  <c r="Q24" i="44" s="1"/>
  <c r="J24" i="44" l="1"/>
  <c r="L24" i="44" s="1"/>
  <c r="M24" i="44" s="1"/>
  <c r="R24" i="44" s="1"/>
  <c r="P24" i="44" l="1"/>
  <c r="D25" i="44"/>
  <c r="N24" i="44"/>
  <c r="O24" i="44" s="1"/>
  <c r="E25" i="44" l="1"/>
  <c r="F25" i="44" s="1"/>
  <c r="K25" i="44"/>
  <c r="H25" i="44" l="1"/>
  <c r="I25" i="44" s="1"/>
  <c r="Q25" i="44" s="1"/>
  <c r="J25" i="44" l="1"/>
  <c r="P25" i="44" s="1"/>
  <c r="L25" i="44" l="1"/>
  <c r="M25" i="44" s="1"/>
  <c r="R25" i="44" s="1"/>
  <c r="D26" i="44"/>
  <c r="N25" i="44" l="1"/>
  <c r="O25" i="44" s="1"/>
  <c r="E26" i="44" s="1"/>
  <c r="F26" i="44" s="1"/>
  <c r="K26" i="44" l="1"/>
  <c r="H26" i="44"/>
  <c r="I26" i="44" s="1"/>
  <c r="Q26" i="44" s="1"/>
  <c r="J26" i="44" l="1"/>
  <c r="D27" i="44" s="1"/>
  <c r="P26" i="44" l="1"/>
  <c r="L26" i="44"/>
  <c r="M26" i="44" s="1"/>
  <c r="R26" i="44" s="1"/>
  <c r="N26" i="44" l="1"/>
  <c r="O26" i="44" s="1"/>
  <c r="K27" i="44" s="1"/>
  <c r="E27" i="44" l="1"/>
  <c r="F27" i="44" s="1"/>
  <c r="H27" i="44" s="1"/>
  <c r="I27" i="44" s="1"/>
  <c r="Q27" i="44" s="1"/>
  <c r="J27" i="44" l="1"/>
  <c r="D28" i="44" s="1"/>
  <c r="L27" i="44" l="1"/>
  <c r="M27" i="44" s="1"/>
  <c r="P27" i="44"/>
  <c r="N27" i="44" l="1"/>
  <c r="O27" i="44" s="1"/>
  <c r="E28" i="44" s="1"/>
  <c r="F28" i="44" s="1"/>
  <c r="R27" i="44"/>
  <c r="K28" i="44" l="1"/>
  <c r="H28" i="44"/>
  <c r="I28" i="44" s="1"/>
  <c r="Q28" i="44" s="1"/>
  <c r="J28" i="44" l="1"/>
  <c r="L28" i="44" s="1"/>
  <c r="M28" i="44" s="1"/>
  <c r="R28" i="44" s="1"/>
  <c r="P28" i="44" l="1"/>
  <c r="D29" i="44"/>
  <c r="N28" i="44"/>
  <c r="O28" i="44" s="1"/>
  <c r="K29" i="44" l="1"/>
  <c r="E29" i="44"/>
  <c r="F29" i="44" s="1"/>
  <c r="H29" i="44" l="1"/>
  <c r="I29" i="44" s="1"/>
  <c r="Q29" i="44" s="1"/>
  <c r="J29" i="44" l="1"/>
  <c r="D30" i="44" s="1"/>
  <c r="L29" i="44" l="1"/>
  <c r="M29" i="44" s="1"/>
  <c r="R29" i="44" s="1"/>
  <c r="P29" i="44"/>
  <c r="N29" i="44" l="1"/>
  <c r="O29" i="44" s="1"/>
  <c r="K30" i="44" l="1"/>
  <c r="E30" i="44"/>
  <c r="F30" i="44" s="1"/>
  <c r="H30" i="44" s="1"/>
  <c r="I30" i="44" s="1"/>
  <c r="Q30" i="44" s="1"/>
  <c r="Q31" i="44" s="1"/>
  <c r="J30" i="44" l="1"/>
  <c r="L30" i="44" s="1"/>
  <c r="M30" i="44" s="1"/>
  <c r="R30" i="44" s="1"/>
  <c r="P30" i="44" l="1"/>
  <c r="P31" i="44" s="1"/>
  <c r="R31" i="44"/>
  <c r="N30" i="44"/>
  <c r="O30" i="44" s="1"/>
  <c r="R32" i="44" l="1"/>
  <c r="F35" i="44" s="1"/>
  <c r="C25" i="28" l="1"/>
  <c r="C32" i="28" s="1"/>
  <c r="C23" i="28"/>
  <c r="C21" i="28"/>
  <c r="C19" i="28"/>
  <c r="C18" i="28"/>
  <c r="C17" i="28"/>
  <c r="C16" i="28"/>
  <c r="C15" i="28"/>
  <c r="C14" i="28"/>
  <c r="C13" i="28"/>
  <c r="C12" i="28"/>
  <c r="B12" i="28" s="1"/>
  <c r="B5" i="28"/>
  <c r="B19" i="28" l="1"/>
  <c r="C20" i="28"/>
  <c r="C22" i="28"/>
  <c r="C24" i="28"/>
  <c r="C26" i="28"/>
  <c r="C28" i="28"/>
  <c r="C30" i="28"/>
  <c r="B26" i="28" l="1"/>
  <c r="C31" i="28"/>
  <c r="C27" i="28"/>
  <c r="C29" i="28"/>
</calcChain>
</file>

<file path=xl/sharedStrings.xml><?xml version="1.0" encoding="utf-8"?>
<sst xmlns="http://schemas.openxmlformats.org/spreadsheetml/2006/main" count="185" uniqueCount="137">
  <si>
    <t>Monat</t>
  </si>
  <si>
    <t>Jahr</t>
  </si>
  <si>
    <t>Woche</t>
  </si>
  <si>
    <t>Wochentag</t>
  </si>
  <si>
    <t>Saisonaler Index</t>
  </si>
  <si>
    <t>Forecasting 1</t>
  </si>
  <si>
    <t>a</t>
  </si>
  <si>
    <t>b</t>
  </si>
  <si>
    <t>Forecasting 3</t>
  </si>
  <si>
    <t>Nachfrage</t>
  </si>
  <si>
    <t>Periode</t>
  </si>
  <si>
    <t>Saisonales Verhältnis</t>
  </si>
  <si>
    <t>Prognose</t>
  </si>
  <si>
    <t>Forecasting 2</t>
  </si>
  <si>
    <t>Produktpreis</t>
  </si>
  <si>
    <t>Bestellkosten</t>
  </si>
  <si>
    <t>Lagerhaltungskosten</t>
  </si>
  <si>
    <t>CHF</t>
  </si>
  <si>
    <t>Optimale Bestellmenge</t>
  </si>
  <si>
    <t>Jahresnachfrage</t>
  </si>
  <si>
    <t>Anzahl Arbeitswochen</t>
  </si>
  <si>
    <t>Wochen</t>
  </si>
  <si>
    <t>Lieferzeit</t>
  </si>
  <si>
    <t>Wahrscheinlichkeit</t>
  </si>
  <si>
    <t>CHF/Stück/Jahr</t>
  </si>
  <si>
    <t>Durschnittliche Kosten</t>
  </si>
  <si>
    <t>Mögliche Wiederbestellpunkte mit Sicherheitsbestand</t>
  </si>
  <si>
    <t>Lead Time</t>
  </si>
  <si>
    <t>Einheiten</t>
  </si>
  <si>
    <t>Zielbestand</t>
  </si>
  <si>
    <t>Pipeline (offene Bestellungen)</t>
  </si>
  <si>
    <t>Bestellmenge</t>
  </si>
  <si>
    <t>Wareneingang</t>
  </si>
  <si>
    <t>Mögliche Nachfrage während Lieferzeit</t>
  </si>
  <si>
    <t>Unterlagerkosten (out-of-stock)</t>
  </si>
  <si>
    <t>CHF / Einheit / Woche</t>
  </si>
  <si>
    <t>Fehlmegenkosten (Out-of-Stock)</t>
  </si>
  <si>
    <t>m</t>
  </si>
  <si>
    <t>s</t>
  </si>
  <si>
    <t>CV</t>
  </si>
  <si>
    <t>S*</t>
  </si>
  <si>
    <t>Z*</t>
  </si>
  <si>
    <t>Land</t>
  </si>
  <si>
    <t>Einheiten / Woche</t>
  </si>
  <si>
    <t>-</t>
  </si>
  <si>
    <t>CHF / Woche</t>
  </si>
  <si>
    <t>Deutschland</t>
  </si>
  <si>
    <t>Belgien</t>
  </si>
  <si>
    <t>Schweden</t>
  </si>
  <si>
    <t>Schweiz</t>
  </si>
  <si>
    <t>Ohne Postponement</t>
  </si>
  <si>
    <t>Mit Postponement</t>
  </si>
  <si>
    <t>Kritisches Verhältnis (Critical Ratio)</t>
  </si>
  <si>
    <t>Lagerbestand</t>
  </si>
  <si>
    <t>Effektiv</t>
  </si>
  <si>
    <t>Pipeline</t>
  </si>
  <si>
    <t>Neubestellung</t>
  </si>
  <si>
    <t>Lagerbestand danach</t>
  </si>
  <si>
    <t>Kosten</t>
  </si>
  <si>
    <t>Tag</t>
  </si>
  <si>
    <t>Anfangs- bestand</t>
  </si>
  <si>
    <t>Verfügbar</t>
  </si>
  <si>
    <t>Befriedigt</t>
  </si>
  <si>
    <t>Stockout</t>
  </si>
  <si>
    <t>Gesamt</t>
  </si>
  <si>
    <t>Platzieren?</t>
  </si>
  <si>
    <t>Trifft ein am Tag</t>
  </si>
  <si>
    <t>Lagerhaltung</t>
  </si>
  <si>
    <t>Bestellung</t>
  </si>
  <si>
    <t>Intervall</t>
  </si>
  <si>
    <t>Bestellmenge, Q</t>
  </si>
  <si>
    <t>Reorder Point, R</t>
  </si>
  <si>
    <t>(pro Einheit pro Tag)</t>
  </si>
  <si>
    <t>Stockout Kosten</t>
  </si>
  <si>
    <t>(pro Einheit)</t>
  </si>
  <si>
    <t>(pro Bestellung)</t>
  </si>
  <si>
    <t>Summe =</t>
  </si>
  <si>
    <t>Totale monatliche Kosten =</t>
  </si>
  <si>
    <t>Run</t>
  </si>
  <si>
    <t>End-
bestand</t>
  </si>
  <si>
    <t>Ein-
getroffen</t>
  </si>
  <si>
    <t>Totalkosten</t>
  </si>
  <si>
    <t>Mittelwert Totalkosten</t>
  </si>
  <si>
    <t xml:space="preserve"> </t>
  </si>
  <si>
    <t>alter Roboter
ohne Upgrade</t>
  </si>
  <si>
    <t>alter Roboter
mit Upgrade</t>
  </si>
  <si>
    <t>neuer Roboter</t>
  </si>
  <si>
    <t>alter Roboter 
mit Upgrade</t>
  </si>
  <si>
    <t>Differenz Stichproben
Mittelwerte</t>
  </si>
  <si>
    <t xml:space="preserve">Differenz Bootstrap Mittelwerte  </t>
  </si>
  <si>
    <t>Runden</t>
  </si>
  <si>
    <t>Differenz Mittelwert</t>
  </si>
  <si>
    <t>Ergebnis einer Konsumentenbefragung in der Schweiz: Wie viel würden Sie für ein Festivalticket bezahlen?</t>
  </si>
  <si>
    <t>Anzahl der Befragten</t>
  </si>
  <si>
    <t xml:space="preserve">Anteil der potenziellen Festival Kunden: </t>
  </si>
  <si>
    <t>Proband</t>
  </si>
  <si>
    <t>Preis</t>
  </si>
  <si>
    <t>ID</t>
  </si>
  <si>
    <t>Nachfrage der Stichprobe zu diesem Preis</t>
  </si>
  <si>
    <t>Geschätzte Gesamtnachfrage zu diesem Preis</t>
  </si>
  <si>
    <t>Ergebnis einer internationalen Konsumentenbefragung: Wie viel würden Sie für ein Festivalticket bezahlen?</t>
  </si>
  <si>
    <t>Euro</t>
  </si>
  <si>
    <t>Unterlagerkosten
(out-of-stock)</t>
  </si>
  <si>
    <t>Wahrscheinlichkeiten der Nachfrage</t>
  </si>
  <si>
    <t>Zur Erleichterung der Formelerstellung haben die Basiszellen sprechende Zellennamen</t>
  </si>
  <si>
    <t>Bestellmengen-
beschränkung</t>
  </si>
  <si>
    <t>zentrierter gleitender Durchschnitt (k=7)</t>
  </si>
  <si>
    <t>Optimaler Wiederbestellpunkt</t>
  </si>
  <si>
    <t>DECKBLATT</t>
  </si>
  <si>
    <t>Prüfung: Einführung in das Operations-Management (4,140)</t>
  </si>
  <si>
    <t>des Produktpreises/ Jahr</t>
  </si>
  <si>
    <t>Säcke/ Jahr</t>
  </si>
  <si>
    <t>CHF/ Bestellung</t>
  </si>
  <si>
    <t>CHF/Produkt</t>
  </si>
  <si>
    <t>Monate</t>
  </si>
  <si>
    <t>Prognostizierte Nachfrage</t>
  </si>
  <si>
    <t>Disponibler Bestand</t>
  </si>
  <si>
    <t>Physisches Lager am Anfang des Monats</t>
  </si>
  <si>
    <t>Physisches Lager am Ende des Monats</t>
  </si>
  <si>
    <t>Konfidenz-Niveau 90%</t>
  </si>
  <si>
    <t>z*-Wert</t>
  </si>
  <si>
    <t>Inventory 4a</t>
  </si>
  <si>
    <t>Inventory 4b</t>
  </si>
  <si>
    <t>Inventory 5</t>
  </si>
  <si>
    <t>Inventory 6</t>
  </si>
  <si>
    <t>SCM 7</t>
  </si>
  <si>
    <t>SCM 8</t>
  </si>
  <si>
    <t>SCM 9b</t>
  </si>
  <si>
    <t>Revenue 11</t>
  </si>
  <si>
    <t>Neuer Lieferant</t>
  </si>
  <si>
    <t>Wochen/Jahr</t>
  </si>
  <si>
    <t>Bestellungen</t>
  </si>
  <si>
    <t>/Jahr</t>
  </si>
  <si>
    <t>Wochen/ Jahr</t>
  </si>
  <si>
    <t>Revenue 10</t>
  </si>
  <si>
    <t>Min Leadtime (Tage)</t>
  </si>
  <si>
    <t>Max Leadtime (Tage)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</si>
</sst>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 &quot;CHF&quot;\ * #,##0.00_ ;_ &quot;CHF&quot;\ * \-#,##0.00_ ;_ &quot;CHF&quot;\ * &quot;-&quot;??_ ;_ @_ "/>
    <numFmt numFmtId="43" formatCode="_ * #,##0.00_ ;_ * \-#,##0.00_ ;_ * &quot;-&quot;??_ ;_ @_ "/>
    <numFmt numFmtId="164" formatCode="_ * #,##0.00_)\ _C_H_F_ ;_ * \(#,##0.00\)\ _C_H_F_ ;_ * &quot;-&quot;??_)\ _C_H_F_ ;_ @_ "/>
    <numFmt numFmtId="165" formatCode="0.000"/>
    <numFmt numFmtId="166" formatCode="_ * #,##0_ ;_ * \-#,##0_ ;_ * &quot;-&quot;??_ ;_ @_ "/>
    <numFmt numFmtId="167" formatCode="0.0"/>
    <numFmt numFmtId="168" formatCode="[$$-409]#,##0.00"/>
    <numFmt numFmtId="169" formatCode="[$$-409]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Symbol"/>
      <family val="1"/>
      <charset val="2"/>
    </font>
    <font>
      <b/>
      <sz val="1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98">
    <xf numFmtId="0" fontId="0" fillId="0" borderId="0" xfId="0"/>
    <xf numFmtId="1" fontId="0" fillId="0" borderId="0" xfId="0" applyNumberFormat="1"/>
    <xf numFmtId="0" fontId="2" fillId="0" borderId="0" xfId="0" applyFont="1" applyAlignment="1">
      <alignment wrapText="1"/>
    </xf>
    <xf numFmtId="0" fontId="0" fillId="0" borderId="0" xfId="0"/>
    <xf numFmtId="2" fontId="0" fillId="0" borderId="0" xfId="0" applyNumberFormat="1"/>
    <xf numFmtId="0" fontId="2" fillId="0" borderId="0" xfId="0" applyFont="1"/>
    <xf numFmtId="0" fontId="4" fillId="0" borderId="0" xfId="0" applyFont="1"/>
    <xf numFmtId="0" fontId="0" fillId="2" borderId="0" xfId="0" applyFill="1"/>
    <xf numFmtId="2" fontId="0" fillId="2" borderId="0" xfId="0" applyNumberFormat="1" applyFill="1"/>
    <xf numFmtId="1" fontId="0" fillId="0" borderId="0" xfId="0" applyNumberFormat="1" applyFill="1"/>
    <xf numFmtId="0" fontId="2" fillId="0" borderId="0" xfId="0" applyFont="1" applyAlignment="1"/>
    <xf numFmtId="165" fontId="2" fillId="0" borderId="0" xfId="0" applyNumberFormat="1" applyFont="1" applyFill="1" applyAlignment="1">
      <alignment horizontal="left"/>
    </xf>
    <xf numFmtId="0" fontId="0" fillId="0" borderId="0" xfId="0" applyFill="1"/>
    <xf numFmtId="2" fontId="0" fillId="0" borderId="0" xfId="0" applyNumberFormat="1" applyFill="1"/>
    <xf numFmtId="165" fontId="0" fillId="0" borderId="0" xfId="0" applyNumberFormat="1" applyFill="1"/>
    <xf numFmtId="9" fontId="0" fillId="0" borderId="0" xfId="0" applyNumberFormat="1"/>
    <xf numFmtId="9" fontId="0" fillId="0" borderId="0" xfId="4" applyFont="1"/>
    <xf numFmtId="0" fontId="0" fillId="0" borderId="0" xfId="0" applyNumberFormat="1"/>
    <xf numFmtId="166" fontId="0" fillId="0" borderId="0" xfId="3" applyNumberFormat="1" applyFont="1"/>
    <xf numFmtId="166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9" fontId="0" fillId="0" borderId="2" xfId="4" applyFont="1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2" fillId="0" borderId="0" xfId="0" applyFont="1" applyAlignment="1">
      <alignment textRotation="90" wrapText="1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43" fontId="0" fillId="0" borderId="0" xfId="3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7" fillId="0" borderId="0" xfId="3" applyFont="1" applyFill="1" applyAlignment="1">
      <alignment horizontal="right" vertical="center"/>
    </xf>
    <xf numFmtId="43" fontId="7" fillId="0" borderId="0" xfId="3" applyFont="1" applyFill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3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2" fontId="7" fillId="0" borderId="0" xfId="0" applyNumberFormat="1" applyFont="1" applyAlignment="1">
      <alignment vertic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1" xfId="0" applyNumberFormat="1" applyBorder="1"/>
    <xf numFmtId="0" fontId="0" fillId="0" borderId="5" xfId="0" applyBorder="1"/>
    <xf numFmtId="0" fontId="0" fillId="0" borderId="3" xfId="0" applyBorder="1"/>
    <xf numFmtId="0" fontId="0" fillId="0" borderId="9" xfId="0" applyBorder="1" applyAlignment="1">
      <alignment horizontal="center" vertical="center" wrapText="1"/>
    </xf>
    <xf numFmtId="168" fontId="0" fillId="0" borderId="8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68" fontId="0" fillId="0" borderId="11" xfId="5" applyNumberFormat="1" applyFont="1" applyBorder="1"/>
    <xf numFmtId="168" fontId="0" fillId="0" borderId="6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7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/>
    </xf>
    <xf numFmtId="169" fontId="0" fillId="0" borderId="0" xfId="0" applyNumberFormat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0" fillId="0" borderId="0" xfId="0" applyFill="1" applyBorder="1"/>
    <xf numFmtId="0" fontId="0" fillId="0" borderId="15" xfId="0" applyBorder="1"/>
    <xf numFmtId="0" fontId="0" fillId="0" borderId="4" xfId="0" applyBorder="1"/>
    <xf numFmtId="0" fontId="0" fillId="0" borderId="14" xfId="0" applyBorder="1"/>
    <xf numFmtId="9" fontId="0" fillId="0" borderId="8" xfId="4" applyFont="1" applyBorder="1"/>
    <xf numFmtId="9" fontId="0" fillId="0" borderId="9" xfId="4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167" fontId="0" fillId="0" borderId="3" xfId="0" applyNumberFormat="1" applyBorder="1"/>
    <xf numFmtId="167" fontId="0" fillId="0" borderId="13" xfId="0" applyNumberFormat="1" applyBorder="1"/>
    <xf numFmtId="167" fontId="0" fillId="0" borderId="9" xfId="0" applyNumberFormat="1" applyBorder="1"/>
    <xf numFmtId="2" fontId="0" fillId="0" borderId="4" xfId="0" applyNumberFormat="1" applyFill="1" applyBorder="1"/>
    <xf numFmtId="2" fontId="2" fillId="2" borderId="3" xfId="0" applyNumberFormat="1" applyFont="1" applyFill="1" applyBorder="1"/>
    <xf numFmtId="9" fontId="0" fillId="0" borderId="0" xfId="0" applyNumberFormat="1" applyAlignment="1">
      <alignment horizontal="center"/>
    </xf>
    <xf numFmtId="0" fontId="10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166" fontId="0" fillId="0" borderId="0" xfId="3" applyNumberFormat="1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0" xfId="4" applyFon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2" borderId="0" xfId="0" applyNumberFormat="1" applyFill="1"/>
    <xf numFmtId="0" fontId="0" fillId="3" borderId="10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8" xfId="0" applyFill="1" applyBorder="1"/>
    <xf numFmtId="0" fontId="0" fillId="4" borderId="9" xfId="0" applyFill="1" applyBorder="1"/>
    <xf numFmtId="3" fontId="7" fillId="3" borderId="0" xfId="0" applyNumberFormat="1" applyFont="1" applyFill="1" applyAlignment="1">
      <alignment horizontal="center" vertical="center"/>
    </xf>
    <xf numFmtId="168" fontId="0" fillId="3" borderId="14" xfId="0" applyNumberFormat="1" applyFill="1" applyBorder="1" applyAlignment="1">
      <alignment horizontal="center"/>
    </xf>
    <xf numFmtId="168" fontId="0" fillId="3" borderId="13" xfId="0" applyNumberFormat="1" applyFill="1" applyBorder="1" applyAlignment="1">
      <alignment horizontal="center"/>
    </xf>
    <xf numFmtId="0" fontId="0" fillId="3" borderId="8" xfId="0" applyFill="1" applyBorder="1"/>
    <xf numFmtId="0" fontId="0" fillId="3" borderId="4" xfId="0" applyFill="1" applyBorder="1"/>
    <xf numFmtId="0" fontId="0" fillId="3" borderId="16" xfId="0" applyFill="1" applyBorder="1"/>
    <xf numFmtId="0" fontId="0" fillId="3" borderId="17" xfId="0" applyFill="1" applyBorder="1"/>
    <xf numFmtId="167" fontId="0" fillId="3" borderId="0" xfId="0" applyNumberFormat="1" applyFill="1"/>
    <xf numFmtId="167" fontId="0" fillId="3" borderId="1" xfId="0" applyNumberFormat="1" applyFill="1" applyBorder="1"/>
    <xf numFmtId="0" fontId="0" fillId="0" borderId="0" xfId="0" applyAlignment="1">
      <alignment wrapText="1"/>
    </xf>
    <xf numFmtId="0" fontId="4" fillId="0" borderId="0" xfId="0" applyFont="1" applyProtection="1"/>
    <xf numFmtId="0" fontId="0" fillId="0" borderId="0" xfId="0" applyProtection="1"/>
    <xf numFmtId="0" fontId="2" fillId="0" borderId="0" xfId="0" applyFont="1" applyAlignment="1" applyProtection="1">
      <alignment wrapText="1"/>
    </xf>
    <xf numFmtId="166" fontId="0" fillId="0" borderId="0" xfId="3" applyNumberFormat="1" applyFont="1" applyProtection="1"/>
    <xf numFmtId="166" fontId="0" fillId="0" borderId="0" xfId="0" applyNumberFormat="1" applyProtection="1"/>
    <xf numFmtId="0" fontId="0" fillId="5" borderId="0" xfId="0" applyFill="1" applyProtection="1"/>
    <xf numFmtId="0" fontId="0" fillId="5" borderId="0" xfId="0" applyFill="1"/>
    <xf numFmtId="2" fontId="0" fillId="0" borderId="19" xfId="0" applyNumberFormat="1" applyFill="1" applyBorder="1"/>
    <xf numFmtId="2" fontId="0" fillId="0" borderId="20" xfId="0" applyNumberFormat="1" applyFill="1" applyBorder="1"/>
    <xf numFmtId="0" fontId="12" fillId="5" borderId="0" xfId="0" applyFont="1" applyFill="1" applyAlignment="1"/>
    <xf numFmtId="0" fontId="13" fillId="5" borderId="0" xfId="0" applyFont="1" applyFill="1" applyAlignment="1"/>
    <xf numFmtId="3" fontId="0" fillId="0" borderId="0" xfId="0" applyNumberFormat="1"/>
    <xf numFmtId="0" fontId="0" fillId="0" borderId="0" xfId="0" applyBorder="1"/>
    <xf numFmtId="0" fontId="0" fillId="3" borderId="12" xfId="0" applyNumberFormat="1" applyFill="1" applyBorder="1" applyAlignment="1">
      <alignment horizontal="center"/>
    </xf>
    <xf numFmtId="0" fontId="0" fillId="3" borderId="14" xfId="0" applyNumberFormat="1" applyFill="1" applyBorder="1" applyAlignment="1">
      <alignment horizontal="center"/>
    </xf>
    <xf numFmtId="0" fontId="0" fillId="3" borderId="13" xfId="0" applyNumberFormat="1" applyFill="1" applyBorder="1" applyAlignment="1">
      <alignment horizontal="center"/>
    </xf>
    <xf numFmtId="3" fontId="7" fillId="2" borderId="0" xfId="0" applyNumberFormat="1" applyFont="1" applyFill="1" applyAlignment="1">
      <alignment horizontal="center" vertical="center"/>
    </xf>
    <xf numFmtId="2" fontId="7" fillId="3" borderId="0" xfId="0" applyNumberFormat="1" applyFont="1" applyFill="1" applyAlignment="1">
      <alignment vertical="center"/>
    </xf>
    <xf numFmtId="0" fontId="0" fillId="0" borderId="1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68" fontId="0" fillId="0" borderId="8" xfId="0" applyNumberFormat="1" applyFill="1" applyBorder="1" applyAlignment="1">
      <alignment horizontal="center" vertical="center"/>
    </xf>
    <xf numFmtId="169" fontId="0" fillId="0" borderId="0" xfId="0" applyNumberFormat="1" applyFill="1" applyAlignment="1">
      <alignment horizontal="center" vertical="center"/>
    </xf>
    <xf numFmtId="166" fontId="0" fillId="0" borderId="2" xfId="3" applyNumberFormat="1" applyFont="1" applyFill="1" applyBorder="1"/>
    <xf numFmtId="166" fontId="0" fillId="0" borderId="4" xfId="3" applyNumberFormat="1" applyFont="1" applyBorder="1"/>
    <xf numFmtId="166" fontId="0" fillId="0" borderId="0" xfId="3" applyNumberFormat="1" applyFont="1" applyFill="1" applyBorder="1"/>
    <xf numFmtId="166" fontId="0" fillId="3" borderId="0" xfId="3" applyNumberFormat="1" applyFont="1" applyFill="1" applyBorder="1"/>
    <xf numFmtId="166" fontId="0" fillId="2" borderId="4" xfId="3" applyNumberFormat="1" applyFont="1" applyFill="1" applyBorder="1"/>
    <xf numFmtId="166" fontId="0" fillId="0" borderId="1" xfId="3" applyNumberFormat="1" applyFont="1" applyFill="1" applyBorder="1"/>
    <xf numFmtId="166" fontId="0" fillId="3" borderId="1" xfId="3" applyNumberFormat="1" applyFont="1" applyFill="1" applyBorder="1"/>
    <xf numFmtId="166" fontId="0" fillId="0" borderId="1" xfId="3" applyNumberFormat="1" applyFont="1" applyBorder="1"/>
    <xf numFmtId="166" fontId="0" fillId="0" borderId="3" xfId="3" applyNumberFormat="1" applyFont="1" applyBorder="1"/>
    <xf numFmtId="166" fontId="0" fillId="0" borderId="0" xfId="3" applyNumberFormat="1" applyFont="1" applyFill="1"/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8" fontId="0" fillId="0" borderId="9" xfId="0" applyNumberFormat="1" applyFill="1" applyBorder="1" applyAlignment="1">
      <alignment horizontal="center" vertical="center"/>
    </xf>
    <xf numFmtId="169" fontId="0" fillId="0" borderId="1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9" fontId="0" fillId="3" borderId="4" xfId="0" applyNumberFormat="1" applyFill="1" applyBorder="1" applyAlignment="1">
      <alignment horizontal="center" vertical="center"/>
    </xf>
    <xf numFmtId="0" fontId="0" fillId="0" borderId="7" xfId="0" applyBorder="1"/>
    <xf numFmtId="2" fontId="0" fillId="3" borderId="4" xfId="0" applyNumberFormat="1" applyFill="1" applyBorder="1"/>
    <xf numFmtId="2" fontId="0" fillId="3" borderId="3" xfId="0" applyNumberFormat="1" applyFill="1" applyBorder="1"/>
    <xf numFmtId="0" fontId="0" fillId="0" borderId="6" xfId="0" applyBorder="1"/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11" fillId="0" borderId="0" xfId="0" applyFont="1" applyAlignment="1">
      <alignment horizontal="left" wrapText="1"/>
    </xf>
    <xf numFmtId="0" fontId="0" fillId="4" borderId="4" xfId="0" applyFill="1" applyBorder="1" applyAlignment="1">
      <alignment horizontal="center" vertical="center" textRotation="90" wrapText="1"/>
    </xf>
    <xf numFmtId="168" fontId="0" fillId="2" borderId="9" xfId="0" applyNumberFormat="1" applyFill="1" applyBorder="1" applyAlignment="1">
      <alignment horizontal="center"/>
    </xf>
    <xf numFmtId="168" fontId="0" fillId="2" borderId="3" xfId="0" applyNumberFormat="1" applyFill="1" applyBorder="1" applyAlignment="1">
      <alignment horizontal="center"/>
    </xf>
    <xf numFmtId="0" fontId="0" fillId="6" borderId="4" xfId="0" applyFill="1" applyBorder="1" applyAlignment="1">
      <alignment horizontal="center" vertical="center" textRotation="90" readingOrder="1"/>
    </xf>
    <xf numFmtId="0" fontId="0" fillId="0" borderId="0" xfId="0" applyAlignment="1">
      <alignment wrapText="1"/>
    </xf>
  </cellXfs>
  <cellStyles count="6">
    <cellStyle name="Komma" xfId="3" builtinId="3"/>
    <cellStyle name="Komma 2" xfId="2" xr:uid="{8E0A597E-F542-40A9-95DF-E96833DEA89B}"/>
    <cellStyle name="Normal 2" xfId="1" xr:uid="{092803AA-A4B7-4290-BD42-1F0A95927AD2}"/>
    <cellStyle name="Prozent" xfId="4" builtinId="5"/>
    <cellStyle name="Standard" xfId="0" builtinId="0"/>
    <cellStyle name="Währung" xfId="5" builtinId="4"/>
  </cellStyles>
  <dxfs count="0"/>
  <tableStyles count="0" defaultTableStyle="TableStyleMedium2" defaultPivotStyle="PivotStyleLight16"/>
  <colors>
    <mruColors>
      <color rgb="FFFF6699"/>
      <color rgb="FFFA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11</xdr:row>
      <xdr:rowOff>38101</xdr:rowOff>
    </xdr:from>
    <xdr:to>
      <xdr:col>10</xdr:col>
      <xdr:colOff>652341</xdr:colOff>
      <xdr:row>22</xdr:row>
      <xdr:rowOff>142876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24E38DB6-61BD-4414-9719-7CFB4387F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6763" y="2505076"/>
          <a:ext cx="4357566" cy="2095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8DA9-B115-416D-AAB9-6ECB2239CFCD}">
  <sheetPr>
    <tabColor rgb="FFFF6699"/>
  </sheetPr>
  <dimension ref="C6:C7"/>
  <sheetViews>
    <sheetView tabSelected="1" workbookViewId="0"/>
  </sheetViews>
  <sheetFormatPr baseColWidth="10" defaultColWidth="11.42578125" defaultRowHeight="15" x14ac:dyDescent="0.25"/>
  <cols>
    <col min="1" max="16384" width="11.42578125" style="144"/>
  </cols>
  <sheetData>
    <row r="6" spans="3:3" ht="92.25" x14ac:dyDescent="1.35">
      <c r="C6" s="147" t="s">
        <v>108</v>
      </c>
    </row>
    <row r="7" spans="3:3" ht="21" x14ac:dyDescent="0.35">
      <c r="C7" s="148" t="s">
        <v>109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36D14-2CA0-42E3-B1E9-4B0BCA3E1741}">
  <sheetPr>
    <tabColor theme="9" tint="0.79998168889431442"/>
  </sheetPr>
  <dimension ref="A1:F52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1.42578125" defaultRowHeight="15" x14ac:dyDescent="0.25"/>
  <cols>
    <col min="1" max="1" width="3.7109375" style="143" customWidth="1"/>
    <col min="2" max="4" width="11.42578125" style="139"/>
    <col min="5" max="5" width="17.28515625" style="139" customWidth="1"/>
    <col min="6" max="16384" width="11.42578125" style="139"/>
  </cols>
  <sheetData>
    <row r="1" spans="2:5" s="143" customFormat="1" x14ac:dyDescent="0.25"/>
    <row r="2" spans="2:5" ht="23.25" x14ac:dyDescent="0.35">
      <c r="B2" s="138" t="s">
        <v>5</v>
      </c>
    </row>
    <row r="4" spans="2:5" x14ac:dyDescent="0.25">
      <c r="B4" s="140" t="s">
        <v>1</v>
      </c>
      <c r="C4" s="140" t="s">
        <v>0</v>
      </c>
      <c r="D4" s="140" t="s">
        <v>10</v>
      </c>
      <c r="E4" s="140" t="s">
        <v>9</v>
      </c>
    </row>
    <row r="5" spans="2:5" x14ac:dyDescent="0.25">
      <c r="B5" s="139">
        <v>2016</v>
      </c>
      <c r="C5" s="139">
        <v>1</v>
      </c>
      <c r="D5" s="139">
        <v>1</v>
      </c>
      <c r="E5" s="141">
        <v>142212</v>
      </c>
    </row>
    <row r="6" spans="2:5" x14ac:dyDescent="0.25">
      <c r="C6" s="139">
        <v>2</v>
      </c>
      <c r="D6" s="139">
        <v>2</v>
      </c>
      <c r="E6" s="141">
        <v>134447</v>
      </c>
    </row>
    <row r="7" spans="2:5" x14ac:dyDescent="0.25">
      <c r="C7" s="139">
        <v>3</v>
      </c>
      <c r="D7" s="139">
        <v>3</v>
      </c>
      <c r="E7" s="141">
        <v>131881</v>
      </c>
    </row>
    <row r="8" spans="2:5" x14ac:dyDescent="0.25">
      <c r="C8" s="139">
        <v>4</v>
      </c>
      <c r="D8" s="139">
        <v>4</v>
      </c>
      <c r="E8" s="141">
        <v>105281</v>
      </c>
    </row>
    <row r="9" spans="2:5" x14ac:dyDescent="0.25">
      <c r="C9" s="139">
        <v>5</v>
      </c>
      <c r="D9" s="139">
        <v>5</v>
      </c>
      <c r="E9" s="141">
        <v>140240</v>
      </c>
    </row>
    <row r="10" spans="2:5" x14ac:dyDescent="0.25">
      <c r="C10" s="139">
        <v>6</v>
      </c>
      <c r="D10" s="139">
        <v>6</v>
      </c>
      <c r="E10" s="141">
        <v>125677</v>
      </c>
    </row>
    <row r="11" spans="2:5" x14ac:dyDescent="0.25">
      <c r="C11" s="139">
        <v>7</v>
      </c>
      <c r="D11" s="139">
        <v>7</v>
      </c>
      <c r="E11" s="141">
        <v>126821</v>
      </c>
    </row>
    <row r="12" spans="2:5" x14ac:dyDescent="0.25">
      <c r="C12" s="139">
        <v>8</v>
      </c>
      <c r="D12" s="139">
        <v>8</v>
      </c>
      <c r="E12" s="141">
        <v>128440</v>
      </c>
    </row>
    <row r="13" spans="2:5" x14ac:dyDescent="0.25">
      <c r="C13" s="139">
        <v>9</v>
      </c>
      <c r="D13" s="139">
        <v>9</v>
      </c>
      <c r="E13" s="141">
        <v>143590</v>
      </c>
    </row>
    <row r="14" spans="2:5" x14ac:dyDescent="0.25">
      <c r="C14" s="139">
        <v>10</v>
      </c>
      <c r="D14" s="139">
        <v>10</v>
      </c>
      <c r="E14" s="141">
        <v>141104</v>
      </c>
    </row>
    <row r="15" spans="2:5" x14ac:dyDescent="0.25">
      <c r="C15" s="139">
        <v>11</v>
      </c>
      <c r="D15" s="139">
        <v>11</v>
      </c>
      <c r="E15" s="141">
        <v>113825</v>
      </c>
    </row>
    <row r="16" spans="2:5" x14ac:dyDescent="0.25">
      <c r="C16" s="139">
        <v>12</v>
      </c>
      <c r="D16" s="139">
        <v>12</v>
      </c>
      <c r="E16" s="141">
        <v>111784</v>
      </c>
    </row>
    <row r="17" spans="2:6" x14ac:dyDescent="0.25">
      <c r="B17" s="139">
        <v>2017</v>
      </c>
      <c r="C17" s="139">
        <v>1</v>
      </c>
      <c r="D17" s="139">
        <v>13</v>
      </c>
      <c r="E17" s="141">
        <v>109743</v>
      </c>
      <c r="F17" s="142"/>
    </row>
    <row r="18" spans="2:6" x14ac:dyDescent="0.25">
      <c r="C18" s="139">
        <v>2</v>
      </c>
      <c r="D18" s="139">
        <v>14</v>
      </c>
      <c r="E18" s="141">
        <v>84967</v>
      </c>
    </row>
    <row r="19" spans="2:6" x14ac:dyDescent="0.25">
      <c r="C19" s="139">
        <v>3</v>
      </c>
      <c r="D19" s="139">
        <v>15</v>
      </c>
      <c r="E19" s="141">
        <v>114029</v>
      </c>
    </row>
    <row r="20" spans="2:6" x14ac:dyDescent="0.25">
      <c r="C20" s="139">
        <v>4</v>
      </c>
      <c r="D20" s="139">
        <v>16</v>
      </c>
      <c r="E20" s="141">
        <v>80152</v>
      </c>
    </row>
    <row r="21" spans="2:6" x14ac:dyDescent="0.25">
      <c r="C21" s="139">
        <v>5</v>
      </c>
      <c r="D21" s="139">
        <v>17</v>
      </c>
      <c r="E21" s="141">
        <v>109020</v>
      </c>
    </row>
    <row r="22" spans="2:6" x14ac:dyDescent="0.25">
      <c r="C22" s="139">
        <v>6</v>
      </c>
      <c r="D22" s="139">
        <v>18</v>
      </c>
      <c r="E22" s="141">
        <v>121218</v>
      </c>
    </row>
    <row r="23" spans="2:6" x14ac:dyDescent="0.25">
      <c r="C23" s="139">
        <v>7</v>
      </c>
      <c r="D23" s="139">
        <v>19</v>
      </c>
      <c r="E23" s="141">
        <v>101357</v>
      </c>
    </row>
    <row r="24" spans="2:6" x14ac:dyDescent="0.25">
      <c r="C24" s="139">
        <v>8</v>
      </c>
      <c r="D24" s="139">
        <v>20</v>
      </c>
      <c r="E24" s="141">
        <v>104158</v>
      </c>
    </row>
    <row r="25" spans="2:6" x14ac:dyDescent="0.25">
      <c r="C25" s="139">
        <v>9</v>
      </c>
      <c r="D25" s="139">
        <v>21</v>
      </c>
      <c r="E25" s="141">
        <v>94652</v>
      </c>
    </row>
    <row r="26" spans="2:6" x14ac:dyDescent="0.25">
      <c r="C26" s="139">
        <v>10</v>
      </c>
      <c r="D26" s="139">
        <v>22</v>
      </c>
      <c r="E26" s="141">
        <v>91824</v>
      </c>
    </row>
    <row r="27" spans="2:6" x14ac:dyDescent="0.25">
      <c r="C27" s="139">
        <v>11</v>
      </c>
      <c r="D27" s="139">
        <v>23</v>
      </c>
      <c r="E27" s="141">
        <v>73410</v>
      </c>
    </row>
    <row r="28" spans="2:6" x14ac:dyDescent="0.25">
      <c r="C28" s="139">
        <v>12</v>
      </c>
      <c r="D28" s="139">
        <v>24</v>
      </c>
      <c r="E28" s="141">
        <v>92475</v>
      </c>
    </row>
    <row r="29" spans="2:6" x14ac:dyDescent="0.25">
      <c r="B29" s="139">
        <v>2018</v>
      </c>
      <c r="C29" s="139">
        <v>1</v>
      </c>
      <c r="D29" s="139">
        <v>25</v>
      </c>
      <c r="E29" s="141">
        <v>94829</v>
      </c>
    </row>
    <row r="30" spans="2:6" x14ac:dyDescent="0.25">
      <c r="C30" s="139">
        <v>2</v>
      </c>
      <c r="D30" s="139">
        <v>26</v>
      </c>
      <c r="E30" s="141">
        <v>74342</v>
      </c>
    </row>
    <row r="31" spans="2:6" x14ac:dyDescent="0.25">
      <c r="C31" s="139">
        <v>3</v>
      </c>
      <c r="D31" s="139">
        <v>27</v>
      </c>
      <c r="E31" s="141">
        <v>81166</v>
      </c>
    </row>
    <row r="32" spans="2:6" x14ac:dyDescent="0.25">
      <c r="C32" s="139">
        <v>4</v>
      </c>
      <c r="D32" s="139">
        <v>28</v>
      </c>
      <c r="E32" s="141">
        <v>88825</v>
      </c>
    </row>
    <row r="33" spans="2:5" x14ac:dyDescent="0.25">
      <c r="C33" s="139">
        <v>5</v>
      </c>
      <c r="D33" s="139">
        <v>29</v>
      </c>
      <c r="E33" s="141">
        <v>81338</v>
      </c>
    </row>
    <row r="34" spans="2:5" x14ac:dyDescent="0.25">
      <c r="C34" s="139">
        <v>6</v>
      </c>
      <c r="D34" s="139">
        <v>30</v>
      </c>
      <c r="E34" s="141">
        <v>91388</v>
      </c>
    </row>
    <row r="35" spans="2:5" x14ac:dyDescent="0.25">
      <c r="C35" s="139">
        <v>7</v>
      </c>
      <c r="D35" s="139">
        <v>31</v>
      </c>
      <c r="E35" s="141">
        <v>73001</v>
      </c>
    </row>
    <row r="36" spans="2:5" x14ac:dyDescent="0.25">
      <c r="C36" s="139">
        <v>8</v>
      </c>
      <c r="D36" s="139">
        <v>32</v>
      </c>
      <c r="E36" s="141">
        <v>60063</v>
      </c>
    </row>
    <row r="37" spans="2:5" x14ac:dyDescent="0.25">
      <c r="C37" s="139">
        <v>9</v>
      </c>
      <c r="D37" s="139">
        <v>33</v>
      </c>
      <c r="E37" s="141">
        <v>73013</v>
      </c>
    </row>
    <row r="38" spans="2:5" x14ac:dyDescent="0.25">
      <c r="C38" s="139">
        <v>10</v>
      </c>
      <c r="D38" s="139">
        <v>34</v>
      </c>
      <c r="E38" s="141">
        <v>66877</v>
      </c>
    </row>
    <row r="39" spans="2:5" x14ac:dyDescent="0.25">
      <c r="C39" s="139">
        <v>11</v>
      </c>
      <c r="D39" s="139">
        <v>35</v>
      </c>
      <c r="E39" s="141">
        <v>78959</v>
      </c>
    </row>
    <row r="40" spans="2:5" x14ac:dyDescent="0.25">
      <c r="C40" s="139">
        <v>12</v>
      </c>
      <c r="D40" s="139">
        <v>36</v>
      </c>
      <c r="E40" s="141">
        <v>63106</v>
      </c>
    </row>
    <row r="41" spans="2:5" x14ac:dyDescent="0.25">
      <c r="B41" s="139">
        <v>2019</v>
      </c>
      <c r="C41" s="139">
        <v>1</v>
      </c>
      <c r="D41" s="139">
        <v>37</v>
      </c>
      <c r="E41" s="141">
        <v>61560</v>
      </c>
    </row>
    <row r="42" spans="2:5" x14ac:dyDescent="0.25">
      <c r="C42" s="139">
        <v>2</v>
      </c>
      <c r="D42" s="139">
        <v>38</v>
      </c>
      <c r="E42" s="141">
        <v>58596</v>
      </c>
    </row>
    <row r="43" spans="2:5" x14ac:dyDescent="0.25">
      <c r="C43" s="139">
        <v>3</v>
      </c>
      <c r="D43" s="139">
        <v>39</v>
      </c>
      <c r="E43" s="141">
        <v>56952</v>
      </c>
    </row>
    <row r="44" spans="2:5" x14ac:dyDescent="0.25">
      <c r="C44" s="139">
        <v>4</v>
      </c>
      <c r="D44" s="139">
        <v>40</v>
      </c>
      <c r="E44" s="141">
        <v>58957</v>
      </c>
    </row>
    <row r="45" spans="2:5" x14ac:dyDescent="0.25">
      <c r="C45" s="139">
        <v>5</v>
      </c>
      <c r="D45" s="139">
        <v>41</v>
      </c>
      <c r="E45" s="141">
        <v>68392</v>
      </c>
    </row>
    <row r="46" spans="2:5" x14ac:dyDescent="0.25">
      <c r="C46" s="139">
        <v>6</v>
      </c>
      <c r="D46" s="139">
        <v>42</v>
      </c>
      <c r="E46" s="141">
        <v>51218</v>
      </c>
    </row>
    <row r="47" spans="2:5" x14ac:dyDescent="0.25">
      <c r="C47" s="139">
        <v>7</v>
      </c>
      <c r="D47" s="139">
        <v>43</v>
      </c>
      <c r="E47" s="141">
        <v>53309</v>
      </c>
    </row>
    <row r="48" spans="2:5" x14ac:dyDescent="0.25">
      <c r="C48" s="139">
        <v>8</v>
      </c>
      <c r="D48" s="139">
        <v>44</v>
      </c>
      <c r="E48" s="141">
        <v>44542</v>
      </c>
    </row>
    <row r="49" spans="3:5" x14ac:dyDescent="0.25">
      <c r="C49" s="139">
        <v>9</v>
      </c>
      <c r="D49" s="139">
        <v>45</v>
      </c>
      <c r="E49" s="141">
        <v>44924</v>
      </c>
    </row>
    <row r="50" spans="3:5" x14ac:dyDescent="0.25">
      <c r="C50" s="139">
        <v>10</v>
      </c>
      <c r="D50" s="139">
        <v>46</v>
      </c>
      <c r="E50" s="141">
        <v>45740</v>
      </c>
    </row>
    <row r="51" spans="3:5" x14ac:dyDescent="0.25">
      <c r="C51" s="139">
        <v>11</v>
      </c>
      <c r="D51" s="139">
        <v>47</v>
      </c>
      <c r="E51" s="141">
        <v>42738</v>
      </c>
    </row>
    <row r="52" spans="3:5" x14ac:dyDescent="0.25">
      <c r="C52" s="139">
        <v>12</v>
      </c>
      <c r="D52" s="139">
        <v>48</v>
      </c>
      <c r="E52" s="141">
        <v>42719</v>
      </c>
    </row>
  </sheetData>
  <sheetProtection formatCells="0" formatColumns="0" formatRows="0" sort="0" autoFilter="0" pivotTables="0"/>
  <pageMargins left="0.7" right="0.7" top="0.78740157499999996" bottom="0.78740157499999996" header="0.3" footer="0.3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5849E-AE7B-4FEE-8E32-402471576277}">
  <sheetPr>
    <tabColor theme="9" tint="0.79998168889431442"/>
  </sheetPr>
  <dimension ref="A1:L104"/>
  <sheetViews>
    <sheetView zoomScaleNormal="100"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1.42578125" defaultRowHeight="15" x14ac:dyDescent="0.25"/>
  <cols>
    <col min="1" max="1" width="3.7109375" style="144" customWidth="1"/>
    <col min="2" max="4" width="11.42578125" style="3"/>
    <col min="5" max="5" width="13.5703125" style="3" customWidth="1"/>
    <col min="6" max="6" width="21.85546875" style="3" customWidth="1"/>
    <col min="7" max="7" width="17.5703125" style="3" customWidth="1"/>
    <col min="8" max="8" width="5" style="3" customWidth="1"/>
    <col min="9" max="9" width="11.28515625" style="3" customWidth="1"/>
    <col min="10" max="10" width="16.42578125" style="3" customWidth="1"/>
    <col min="11" max="11" width="11.42578125" style="3"/>
    <col min="12" max="12" width="46.42578125" style="3" customWidth="1"/>
    <col min="13" max="16384" width="11.42578125" style="3"/>
  </cols>
  <sheetData>
    <row r="1" spans="2:12" s="144" customFormat="1" x14ac:dyDescent="0.25"/>
    <row r="2" spans="2:12" ht="23.25" x14ac:dyDescent="0.35">
      <c r="B2" s="6" t="s">
        <v>13</v>
      </c>
    </row>
    <row r="4" spans="2:12" ht="29.25" customHeight="1" x14ac:dyDescent="0.25">
      <c r="B4" s="2" t="s">
        <v>2</v>
      </c>
      <c r="C4" s="2" t="s">
        <v>3</v>
      </c>
      <c r="D4" s="2" t="s">
        <v>10</v>
      </c>
      <c r="E4" s="2" t="s">
        <v>9</v>
      </c>
      <c r="F4" s="2" t="s">
        <v>106</v>
      </c>
      <c r="G4" s="2" t="s">
        <v>11</v>
      </c>
      <c r="H4" s="2"/>
      <c r="I4" s="5" t="s">
        <v>3</v>
      </c>
      <c r="J4" s="5" t="s">
        <v>4</v>
      </c>
    </row>
    <row r="5" spans="2:12" x14ac:dyDescent="0.25">
      <c r="B5" s="3">
        <f>C5</f>
        <v>1</v>
      </c>
      <c r="C5" s="3">
        <v>1</v>
      </c>
      <c r="D5" s="3">
        <v>1</v>
      </c>
      <c r="E5" s="18">
        <v>2208</v>
      </c>
      <c r="F5" s="12"/>
      <c r="G5" s="12"/>
      <c r="H5" s="12"/>
      <c r="I5" s="12">
        <v>1</v>
      </c>
      <c r="J5" s="13"/>
      <c r="L5" s="10"/>
    </row>
    <row r="6" spans="2:12" x14ac:dyDescent="0.25">
      <c r="C6" s="3">
        <v>2</v>
      </c>
      <c r="D6" s="3">
        <v>2</v>
      </c>
      <c r="E6" s="18">
        <v>1582</v>
      </c>
      <c r="F6" s="12"/>
      <c r="G6" s="12"/>
      <c r="H6" s="12"/>
      <c r="I6" s="12">
        <v>2</v>
      </c>
      <c r="J6" s="13"/>
      <c r="K6" s="4"/>
      <c r="L6" s="11"/>
    </row>
    <row r="7" spans="2:12" x14ac:dyDescent="0.25">
      <c r="C7" s="3">
        <v>3</v>
      </c>
      <c r="D7" s="3">
        <v>3</v>
      </c>
      <c r="E7" s="18">
        <v>1933</v>
      </c>
      <c r="F7" s="12"/>
      <c r="G7" s="12"/>
      <c r="H7" s="12"/>
      <c r="I7" s="12">
        <v>3</v>
      </c>
      <c r="J7" s="8"/>
      <c r="K7" s="4"/>
    </row>
    <row r="8" spans="2:12" x14ac:dyDescent="0.25">
      <c r="C8" s="3">
        <v>4</v>
      </c>
      <c r="D8" s="3">
        <v>4</v>
      </c>
      <c r="E8" s="18">
        <v>2721</v>
      </c>
      <c r="F8" s="9"/>
      <c r="G8" s="13"/>
      <c r="H8" s="12"/>
      <c r="I8" s="12">
        <v>4</v>
      </c>
      <c r="J8" s="13"/>
      <c r="K8" s="4"/>
    </row>
    <row r="9" spans="2:12" x14ac:dyDescent="0.25">
      <c r="C9" s="3">
        <v>5</v>
      </c>
      <c r="D9" s="3">
        <v>5</v>
      </c>
      <c r="E9" s="18">
        <v>2053</v>
      </c>
      <c r="F9" s="9"/>
      <c r="G9" s="13"/>
      <c r="H9" s="12"/>
      <c r="I9" s="12">
        <v>5</v>
      </c>
      <c r="J9" s="13"/>
      <c r="K9" s="4"/>
    </row>
    <row r="10" spans="2:12" x14ac:dyDescent="0.25">
      <c r="C10" s="3">
        <v>6</v>
      </c>
      <c r="D10" s="3">
        <v>6</v>
      </c>
      <c r="E10" s="18">
        <v>2479</v>
      </c>
      <c r="F10" s="9"/>
      <c r="G10" s="13"/>
      <c r="H10" s="12"/>
      <c r="I10" s="12">
        <v>6</v>
      </c>
      <c r="J10" s="13"/>
      <c r="K10" s="4"/>
    </row>
    <row r="11" spans="2:12" x14ac:dyDescent="0.25">
      <c r="C11" s="3">
        <v>7</v>
      </c>
      <c r="D11" s="3">
        <v>7</v>
      </c>
      <c r="E11" s="18">
        <v>1663</v>
      </c>
      <c r="F11" s="9"/>
      <c r="G11" s="13"/>
      <c r="H11" s="12"/>
      <c r="I11" s="12">
        <v>7</v>
      </c>
      <c r="J11" s="13"/>
      <c r="K11" s="4"/>
    </row>
    <row r="12" spans="2:12" x14ac:dyDescent="0.25">
      <c r="B12" s="3">
        <f>IF(C12=1,B5+1,B11)</f>
        <v>2</v>
      </c>
      <c r="C12" s="3">
        <f>C5</f>
        <v>1</v>
      </c>
      <c r="D12" s="3">
        <v>8</v>
      </c>
      <c r="E12" s="18">
        <v>2043</v>
      </c>
      <c r="F12" s="9"/>
      <c r="G12" s="13"/>
      <c r="H12" s="12"/>
      <c r="I12" s="12"/>
      <c r="J12" s="13"/>
      <c r="K12" s="4"/>
    </row>
    <row r="13" spans="2:12" x14ac:dyDescent="0.25">
      <c r="C13" s="3">
        <f t="shared" ref="C13:C32" si="0">C6</f>
        <v>2</v>
      </c>
      <c r="D13" s="3">
        <v>9</v>
      </c>
      <c r="E13" s="18">
        <v>2063</v>
      </c>
      <c r="F13" s="9"/>
      <c r="G13" s="13"/>
      <c r="H13" s="12"/>
      <c r="I13" s="12"/>
      <c r="J13" s="12"/>
    </row>
    <row r="14" spans="2:12" x14ac:dyDescent="0.25">
      <c r="C14" s="3">
        <f t="shared" si="0"/>
        <v>3</v>
      </c>
      <c r="D14" s="3">
        <v>10</v>
      </c>
      <c r="E14" s="18">
        <v>1965</v>
      </c>
      <c r="F14" s="9"/>
      <c r="G14" s="13"/>
      <c r="H14" s="12"/>
      <c r="I14" s="12"/>
      <c r="J14" s="12"/>
    </row>
    <row r="15" spans="2:12" x14ac:dyDescent="0.25">
      <c r="C15" s="3">
        <f t="shared" si="0"/>
        <v>4</v>
      </c>
      <c r="D15" s="3">
        <v>11</v>
      </c>
      <c r="E15" s="18">
        <v>2837</v>
      </c>
      <c r="F15" s="9"/>
      <c r="G15" s="13"/>
      <c r="H15" s="12"/>
      <c r="I15" s="12"/>
      <c r="J15" s="12"/>
    </row>
    <row r="16" spans="2:12" x14ac:dyDescent="0.25">
      <c r="C16" s="3">
        <f t="shared" si="0"/>
        <v>5</v>
      </c>
      <c r="D16" s="3">
        <v>12</v>
      </c>
      <c r="E16" s="18">
        <v>2775</v>
      </c>
      <c r="F16" s="9"/>
      <c r="G16" s="13"/>
      <c r="H16" s="12"/>
      <c r="I16" s="12"/>
      <c r="J16" s="14"/>
    </row>
    <row r="17" spans="2:10" x14ac:dyDescent="0.25">
      <c r="C17" s="3">
        <f t="shared" si="0"/>
        <v>6</v>
      </c>
      <c r="D17" s="3">
        <v>13</v>
      </c>
      <c r="E17" s="18">
        <v>3583</v>
      </c>
      <c r="F17" s="9"/>
      <c r="G17" s="13"/>
      <c r="H17" s="12"/>
      <c r="I17" s="12"/>
      <c r="J17" s="12"/>
    </row>
    <row r="18" spans="2:10" x14ac:dyDescent="0.25">
      <c r="C18" s="3">
        <f t="shared" si="0"/>
        <v>7</v>
      </c>
      <c r="D18" s="3">
        <v>14</v>
      </c>
      <c r="E18" s="18">
        <v>1627</v>
      </c>
      <c r="F18" s="9"/>
      <c r="G18" s="13"/>
      <c r="H18" s="12"/>
      <c r="I18" s="12"/>
      <c r="J18" s="12"/>
    </row>
    <row r="19" spans="2:10" x14ac:dyDescent="0.25">
      <c r="B19" s="3">
        <f>IF(C19=1,B12+1,B18)</f>
        <v>3</v>
      </c>
      <c r="C19" s="3">
        <f t="shared" si="0"/>
        <v>1</v>
      </c>
      <c r="D19" s="3">
        <v>15</v>
      </c>
      <c r="E19" s="18">
        <v>2496</v>
      </c>
      <c r="F19" s="9"/>
      <c r="G19" s="13"/>
      <c r="H19" s="12"/>
      <c r="I19" s="12"/>
      <c r="J19" s="12"/>
    </row>
    <row r="20" spans="2:10" x14ac:dyDescent="0.25">
      <c r="C20" s="3">
        <f t="shared" si="0"/>
        <v>2</v>
      </c>
      <c r="D20" s="3">
        <v>16</v>
      </c>
      <c r="E20" s="18">
        <v>2348</v>
      </c>
      <c r="F20" s="9"/>
      <c r="G20" s="13"/>
      <c r="H20" s="12"/>
      <c r="I20" s="12"/>
      <c r="J20" s="12"/>
    </row>
    <row r="21" spans="2:10" x14ac:dyDescent="0.25">
      <c r="C21" s="3">
        <f t="shared" si="0"/>
        <v>3</v>
      </c>
      <c r="D21" s="3">
        <v>17</v>
      </c>
      <c r="E21" s="18">
        <v>2103</v>
      </c>
      <c r="F21" s="9"/>
      <c r="G21" s="13"/>
      <c r="H21" s="12"/>
      <c r="I21" s="12"/>
      <c r="J21" s="12"/>
    </row>
    <row r="22" spans="2:10" x14ac:dyDescent="0.25">
      <c r="C22" s="3">
        <f t="shared" si="0"/>
        <v>4</v>
      </c>
      <c r="D22" s="3">
        <v>18</v>
      </c>
      <c r="E22" s="18">
        <v>3118</v>
      </c>
      <c r="F22" s="9"/>
      <c r="G22" s="13"/>
      <c r="H22" s="12"/>
      <c r="I22" s="12"/>
      <c r="J22" s="12"/>
    </row>
    <row r="23" spans="2:10" x14ac:dyDescent="0.25">
      <c r="C23" s="3">
        <f t="shared" si="0"/>
        <v>5</v>
      </c>
      <c r="D23" s="3">
        <v>19</v>
      </c>
      <c r="E23" s="18">
        <v>3030</v>
      </c>
      <c r="F23" s="9"/>
      <c r="G23" s="13"/>
      <c r="H23" s="12"/>
      <c r="I23" s="12"/>
      <c r="J23" s="12"/>
    </row>
    <row r="24" spans="2:10" x14ac:dyDescent="0.25">
      <c r="C24" s="3">
        <f t="shared" si="0"/>
        <v>6</v>
      </c>
      <c r="D24" s="3">
        <v>20</v>
      </c>
      <c r="E24" s="18">
        <v>3210</v>
      </c>
      <c r="F24" s="9"/>
      <c r="G24" s="13"/>
      <c r="H24" s="12"/>
      <c r="I24" s="12"/>
      <c r="J24" s="12"/>
    </row>
    <row r="25" spans="2:10" x14ac:dyDescent="0.25">
      <c r="C25" s="3">
        <f t="shared" si="0"/>
        <v>7</v>
      </c>
      <c r="D25" s="3">
        <v>21</v>
      </c>
      <c r="E25" s="18">
        <v>1831</v>
      </c>
      <c r="F25" s="9"/>
      <c r="G25" s="13"/>
      <c r="H25" s="12"/>
      <c r="I25" s="12"/>
      <c r="J25" s="12"/>
    </row>
    <row r="26" spans="2:10" x14ac:dyDescent="0.25">
      <c r="B26" s="3">
        <f t="shared" ref="B26" si="1">IF(C26=1,B19+1,B25)</f>
        <v>4</v>
      </c>
      <c r="C26" s="3">
        <f t="shared" si="0"/>
        <v>1</v>
      </c>
      <c r="D26" s="3">
        <v>22</v>
      </c>
      <c r="E26" s="18">
        <v>2611</v>
      </c>
      <c r="F26" s="9"/>
      <c r="G26" s="13"/>
      <c r="H26" s="12"/>
      <c r="I26" s="12"/>
      <c r="J26" s="12"/>
    </row>
    <row r="27" spans="2:10" x14ac:dyDescent="0.25">
      <c r="C27" s="3">
        <f t="shared" si="0"/>
        <v>2</v>
      </c>
      <c r="D27" s="3">
        <v>23</v>
      </c>
      <c r="E27" s="18">
        <v>2375</v>
      </c>
      <c r="F27" s="9"/>
      <c r="G27" s="13"/>
      <c r="H27" s="12"/>
      <c r="I27" s="12"/>
      <c r="J27" s="12"/>
    </row>
    <row r="28" spans="2:10" x14ac:dyDescent="0.25">
      <c r="C28" s="3">
        <f t="shared" si="0"/>
        <v>3</v>
      </c>
      <c r="D28" s="3">
        <v>24</v>
      </c>
      <c r="E28" s="18">
        <v>2370</v>
      </c>
      <c r="F28" s="9"/>
      <c r="G28" s="13"/>
      <c r="H28" s="12"/>
      <c r="I28" s="12"/>
      <c r="J28" s="12"/>
    </row>
    <row r="29" spans="2:10" x14ac:dyDescent="0.25">
      <c r="C29" s="3">
        <f t="shared" si="0"/>
        <v>4</v>
      </c>
      <c r="D29" s="3">
        <v>25</v>
      </c>
      <c r="E29" s="18">
        <v>3215</v>
      </c>
      <c r="F29" s="9"/>
      <c r="G29" s="13"/>
      <c r="H29" s="12"/>
      <c r="I29" s="12"/>
      <c r="J29" s="12"/>
    </row>
    <row r="30" spans="2:10" x14ac:dyDescent="0.25">
      <c r="C30" s="3">
        <f t="shared" si="0"/>
        <v>5</v>
      </c>
      <c r="D30" s="3">
        <v>26</v>
      </c>
      <c r="E30" s="18">
        <v>3245</v>
      </c>
      <c r="F30" s="9"/>
      <c r="G30" s="13"/>
      <c r="H30" s="12"/>
      <c r="I30" s="12"/>
      <c r="J30" s="12"/>
    </row>
    <row r="31" spans="2:10" x14ac:dyDescent="0.25">
      <c r="C31" s="3">
        <f t="shared" si="0"/>
        <v>6</v>
      </c>
      <c r="D31" s="3">
        <v>27</v>
      </c>
      <c r="E31" s="18">
        <v>3899</v>
      </c>
      <c r="F31" s="9"/>
      <c r="G31" s="13"/>
      <c r="H31" s="12"/>
      <c r="I31" s="12"/>
      <c r="J31" s="12"/>
    </row>
    <row r="32" spans="2:10" x14ac:dyDescent="0.25">
      <c r="C32" s="3">
        <f t="shared" si="0"/>
        <v>7</v>
      </c>
      <c r="D32" s="3">
        <v>28</v>
      </c>
      <c r="E32" s="18">
        <v>1941</v>
      </c>
      <c r="F32" s="1"/>
      <c r="G32" s="4"/>
    </row>
    <row r="33" spans="6:7" x14ac:dyDescent="0.25">
      <c r="F33" s="1"/>
      <c r="G33" s="4"/>
    </row>
    <row r="34" spans="6:7" x14ac:dyDescent="0.25">
      <c r="F34" s="1"/>
      <c r="G34" s="4"/>
    </row>
    <row r="35" spans="6:7" x14ac:dyDescent="0.25">
      <c r="F35" s="1"/>
      <c r="G35" s="4"/>
    </row>
    <row r="36" spans="6:7" x14ac:dyDescent="0.25">
      <c r="F36" s="1"/>
      <c r="G36" s="4"/>
    </row>
    <row r="37" spans="6:7" x14ac:dyDescent="0.25">
      <c r="F37" s="1"/>
      <c r="G37" s="4"/>
    </row>
    <row r="38" spans="6:7" x14ac:dyDescent="0.25">
      <c r="F38" s="1"/>
      <c r="G38" s="4"/>
    </row>
    <row r="39" spans="6:7" x14ac:dyDescent="0.25">
      <c r="F39" s="1"/>
      <c r="G39" s="4"/>
    </row>
    <row r="40" spans="6:7" x14ac:dyDescent="0.25">
      <c r="F40" s="1"/>
      <c r="G40" s="4"/>
    </row>
    <row r="41" spans="6:7" x14ac:dyDescent="0.25">
      <c r="F41" s="1"/>
      <c r="G41" s="4"/>
    </row>
    <row r="42" spans="6:7" x14ac:dyDescent="0.25">
      <c r="F42" s="1"/>
      <c r="G42" s="4"/>
    </row>
    <row r="43" spans="6:7" x14ac:dyDescent="0.25">
      <c r="F43" s="1"/>
      <c r="G43" s="4"/>
    </row>
    <row r="44" spans="6:7" x14ac:dyDescent="0.25">
      <c r="F44" s="1"/>
      <c r="G44" s="4"/>
    </row>
    <row r="45" spans="6:7" x14ac:dyDescent="0.25">
      <c r="F45" s="1"/>
      <c r="G45" s="4"/>
    </row>
    <row r="46" spans="6:7" x14ac:dyDescent="0.25">
      <c r="F46" s="1"/>
      <c r="G46" s="4"/>
    </row>
    <row r="47" spans="6:7" x14ac:dyDescent="0.25">
      <c r="F47" s="1"/>
      <c r="G47" s="4"/>
    </row>
    <row r="48" spans="6:7" x14ac:dyDescent="0.25">
      <c r="F48" s="1"/>
      <c r="G48" s="4"/>
    </row>
    <row r="49" spans="6:7" x14ac:dyDescent="0.25">
      <c r="F49" s="1"/>
      <c r="G49" s="4"/>
    </row>
    <row r="50" spans="6:7" x14ac:dyDescent="0.25">
      <c r="F50" s="1"/>
      <c r="G50" s="4"/>
    </row>
    <row r="51" spans="6:7" x14ac:dyDescent="0.25">
      <c r="F51" s="1"/>
      <c r="G51" s="4"/>
    </row>
    <row r="52" spans="6:7" x14ac:dyDescent="0.25">
      <c r="F52" s="1"/>
      <c r="G52" s="4"/>
    </row>
    <row r="53" spans="6:7" x14ac:dyDescent="0.25">
      <c r="F53" s="1"/>
      <c r="G53" s="4"/>
    </row>
    <row r="54" spans="6:7" x14ac:dyDescent="0.25">
      <c r="F54" s="1"/>
      <c r="G54" s="4"/>
    </row>
    <row r="55" spans="6:7" x14ac:dyDescent="0.25">
      <c r="F55" s="1"/>
      <c r="G55" s="4"/>
    </row>
    <row r="56" spans="6:7" x14ac:dyDescent="0.25">
      <c r="F56" s="1"/>
      <c r="G56" s="4"/>
    </row>
    <row r="57" spans="6:7" x14ac:dyDescent="0.25">
      <c r="F57" s="1"/>
      <c r="G57" s="4"/>
    </row>
    <row r="58" spans="6:7" x14ac:dyDescent="0.25">
      <c r="F58" s="1"/>
      <c r="G58" s="4"/>
    </row>
    <row r="59" spans="6:7" x14ac:dyDescent="0.25">
      <c r="F59" s="1"/>
      <c r="G59" s="4"/>
    </row>
    <row r="60" spans="6:7" x14ac:dyDescent="0.25">
      <c r="F60" s="1"/>
      <c r="G60" s="4"/>
    </row>
    <row r="61" spans="6:7" x14ac:dyDescent="0.25">
      <c r="F61" s="1"/>
      <c r="G61" s="4"/>
    </row>
    <row r="62" spans="6:7" x14ac:dyDescent="0.25">
      <c r="F62" s="1"/>
      <c r="G62" s="4"/>
    </row>
    <row r="63" spans="6:7" x14ac:dyDescent="0.25">
      <c r="F63" s="1"/>
      <c r="G63" s="4"/>
    </row>
    <row r="64" spans="6:7" x14ac:dyDescent="0.25">
      <c r="F64" s="1"/>
      <c r="G64" s="4"/>
    </row>
    <row r="65" spans="6:7" x14ac:dyDescent="0.25">
      <c r="F65" s="1"/>
      <c r="G65" s="4"/>
    </row>
    <row r="66" spans="6:7" x14ac:dyDescent="0.25">
      <c r="F66" s="1"/>
      <c r="G66" s="4"/>
    </row>
    <row r="67" spans="6:7" x14ac:dyDescent="0.25">
      <c r="F67" s="1"/>
      <c r="G67" s="4"/>
    </row>
    <row r="68" spans="6:7" x14ac:dyDescent="0.25">
      <c r="F68" s="1"/>
      <c r="G68" s="4"/>
    </row>
    <row r="69" spans="6:7" x14ac:dyDescent="0.25">
      <c r="F69" s="1"/>
      <c r="G69" s="4"/>
    </row>
    <row r="70" spans="6:7" x14ac:dyDescent="0.25">
      <c r="F70" s="1"/>
      <c r="G70" s="4"/>
    </row>
    <row r="71" spans="6:7" x14ac:dyDescent="0.25">
      <c r="F71" s="1"/>
      <c r="G71" s="4"/>
    </row>
    <row r="72" spans="6:7" x14ac:dyDescent="0.25">
      <c r="F72" s="1"/>
      <c r="G72" s="4"/>
    </row>
    <row r="73" spans="6:7" x14ac:dyDescent="0.25">
      <c r="F73" s="1"/>
      <c r="G73" s="4"/>
    </row>
    <row r="74" spans="6:7" x14ac:dyDescent="0.25">
      <c r="F74" s="1"/>
      <c r="G74" s="4"/>
    </row>
    <row r="75" spans="6:7" x14ac:dyDescent="0.25">
      <c r="F75" s="1"/>
      <c r="G75" s="4"/>
    </row>
    <row r="76" spans="6:7" x14ac:dyDescent="0.25">
      <c r="F76" s="1"/>
      <c r="G76" s="4"/>
    </row>
    <row r="77" spans="6:7" x14ac:dyDescent="0.25">
      <c r="F77" s="1"/>
      <c r="G77" s="4"/>
    </row>
    <row r="78" spans="6:7" x14ac:dyDescent="0.25">
      <c r="F78" s="1"/>
      <c r="G78" s="4"/>
    </row>
    <row r="79" spans="6:7" x14ac:dyDescent="0.25">
      <c r="F79" s="1"/>
      <c r="G79" s="4"/>
    </row>
    <row r="80" spans="6:7" x14ac:dyDescent="0.25">
      <c r="F80" s="1"/>
      <c r="G80" s="4"/>
    </row>
    <row r="81" spans="6:7" x14ac:dyDescent="0.25">
      <c r="F81" s="1"/>
      <c r="G81" s="4"/>
    </row>
    <row r="82" spans="6:7" x14ac:dyDescent="0.25">
      <c r="F82" s="1"/>
      <c r="G82" s="4"/>
    </row>
    <row r="83" spans="6:7" x14ac:dyDescent="0.25">
      <c r="F83" s="1"/>
      <c r="G83" s="4"/>
    </row>
    <row r="84" spans="6:7" x14ac:dyDescent="0.25">
      <c r="F84" s="1"/>
      <c r="G84" s="4"/>
    </row>
    <row r="85" spans="6:7" x14ac:dyDescent="0.25">
      <c r="F85" s="1"/>
      <c r="G85" s="4"/>
    </row>
    <row r="86" spans="6:7" x14ac:dyDescent="0.25">
      <c r="F86" s="1"/>
      <c r="G86" s="4"/>
    </row>
    <row r="87" spans="6:7" x14ac:dyDescent="0.25">
      <c r="F87" s="1"/>
      <c r="G87" s="4"/>
    </row>
    <row r="88" spans="6:7" x14ac:dyDescent="0.25">
      <c r="F88" s="1"/>
      <c r="G88" s="4"/>
    </row>
    <row r="89" spans="6:7" x14ac:dyDescent="0.25">
      <c r="F89" s="1"/>
      <c r="G89" s="4"/>
    </row>
    <row r="90" spans="6:7" x14ac:dyDescent="0.25">
      <c r="F90" s="1"/>
      <c r="G90" s="4"/>
    </row>
    <row r="91" spans="6:7" x14ac:dyDescent="0.25">
      <c r="F91" s="1"/>
      <c r="G91" s="4"/>
    </row>
    <row r="92" spans="6:7" x14ac:dyDescent="0.25">
      <c r="F92" s="1"/>
      <c r="G92" s="4"/>
    </row>
    <row r="93" spans="6:7" x14ac:dyDescent="0.25">
      <c r="F93" s="1"/>
      <c r="G93" s="4"/>
    </row>
    <row r="94" spans="6:7" x14ac:dyDescent="0.25">
      <c r="F94" s="1"/>
      <c r="G94" s="4"/>
    </row>
    <row r="95" spans="6:7" x14ac:dyDescent="0.25">
      <c r="F95" s="1"/>
      <c r="G95" s="4"/>
    </row>
    <row r="96" spans="6:7" x14ac:dyDescent="0.25">
      <c r="F96" s="1"/>
      <c r="G96" s="4"/>
    </row>
    <row r="97" spans="6:7" x14ac:dyDescent="0.25">
      <c r="F97" s="1"/>
      <c r="G97" s="4"/>
    </row>
    <row r="98" spans="6:7" x14ac:dyDescent="0.25">
      <c r="F98" s="1"/>
      <c r="G98" s="4"/>
    </row>
    <row r="99" spans="6:7" x14ac:dyDescent="0.25">
      <c r="F99" s="1"/>
      <c r="G99" s="4"/>
    </row>
    <row r="100" spans="6:7" x14ac:dyDescent="0.25">
      <c r="F100" s="1"/>
      <c r="G100" s="4"/>
    </row>
    <row r="101" spans="6:7" x14ac:dyDescent="0.25">
      <c r="F101" s="1"/>
      <c r="G101" s="4"/>
    </row>
    <row r="102" spans="6:7" x14ac:dyDescent="0.25">
      <c r="G102" s="4"/>
    </row>
    <row r="103" spans="6:7" x14ac:dyDescent="0.25">
      <c r="G103" s="4"/>
    </row>
    <row r="104" spans="6:7" x14ac:dyDescent="0.25">
      <c r="G104" s="4"/>
    </row>
  </sheetData>
  <pageMargins left="0.7" right="0.7" top="0.78740157499999996" bottom="0.78740157499999996" header="0.3" footer="0.3"/>
  <pageSetup paperSize="9"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A741-857E-4F61-B819-41A6461BCB03}">
  <sheetPr>
    <tabColor theme="9" tint="0.79998168889431442"/>
  </sheetPr>
  <dimension ref="A1:D104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1.42578125" defaultRowHeight="15" x14ac:dyDescent="0.25"/>
  <cols>
    <col min="1" max="1" width="3.7109375" style="144" customWidth="1"/>
    <col min="2" max="2" width="11.42578125" style="3"/>
    <col min="3" max="3" width="12.7109375" style="3" customWidth="1"/>
    <col min="4" max="16384" width="11.42578125" style="3"/>
  </cols>
  <sheetData>
    <row r="1" spans="2:4" s="144" customFormat="1" x14ac:dyDescent="0.25"/>
    <row r="2" spans="2:4" ht="23.25" x14ac:dyDescent="0.35">
      <c r="B2" s="6" t="s">
        <v>8</v>
      </c>
    </row>
    <row r="4" spans="2:4" x14ac:dyDescent="0.25">
      <c r="B4" s="5" t="s">
        <v>2</v>
      </c>
      <c r="C4" s="2" t="s">
        <v>9</v>
      </c>
      <c r="D4" s="2" t="s">
        <v>12</v>
      </c>
    </row>
    <row r="5" spans="2:4" x14ac:dyDescent="0.25">
      <c r="B5" s="3">
        <v>1</v>
      </c>
      <c r="C5" s="18">
        <v>790</v>
      </c>
    </row>
    <row r="6" spans="2:4" x14ac:dyDescent="0.25">
      <c r="B6" s="3">
        <v>2</v>
      </c>
      <c r="C6" s="18">
        <v>832</v>
      </c>
    </row>
    <row r="7" spans="2:4" x14ac:dyDescent="0.25">
      <c r="B7" s="3">
        <v>3</v>
      </c>
      <c r="C7" s="18">
        <v>882</v>
      </c>
    </row>
    <row r="8" spans="2:4" x14ac:dyDescent="0.25">
      <c r="B8" s="3">
        <v>4</v>
      </c>
      <c r="C8" s="18">
        <v>940</v>
      </c>
    </row>
    <row r="9" spans="2:4" x14ac:dyDescent="0.25">
      <c r="B9" s="3">
        <v>5</v>
      </c>
      <c r="C9" s="18">
        <v>1088</v>
      </c>
    </row>
    <row r="10" spans="2:4" x14ac:dyDescent="0.25">
      <c r="B10" s="3">
        <v>6</v>
      </c>
      <c r="C10" s="18">
        <v>1089</v>
      </c>
    </row>
    <row r="11" spans="2:4" x14ac:dyDescent="0.25">
      <c r="B11" s="3">
        <v>7</v>
      </c>
      <c r="C11" s="18">
        <v>1241</v>
      </c>
    </row>
    <row r="12" spans="2:4" x14ac:dyDescent="0.25">
      <c r="B12" s="3">
        <v>8</v>
      </c>
      <c r="C12" s="18">
        <v>1314</v>
      </c>
    </row>
    <row r="13" spans="2:4" x14ac:dyDescent="0.25">
      <c r="B13" s="3">
        <v>9</v>
      </c>
      <c r="C13" s="18">
        <v>1316</v>
      </c>
    </row>
    <row r="14" spans="2:4" x14ac:dyDescent="0.25">
      <c r="B14" s="3">
        <v>10</v>
      </c>
      <c r="C14" s="18">
        <v>1345</v>
      </c>
    </row>
    <row r="15" spans="2:4" x14ac:dyDescent="0.25">
      <c r="B15" s="3">
        <v>11</v>
      </c>
      <c r="C15" s="18">
        <v>1403</v>
      </c>
    </row>
    <row r="16" spans="2:4" x14ac:dyDescent="0.25">
      <c r="B16" s="3">
        <v>12</v>
      </c>
      <c r="C16" s="18">
        <v>1504</v>
      </c>
    </row>
    <row r="17" spans="2:3" x14ac:dyDescent="0.25">
      <c r="B17" s="3">
        <v>13</v>
      </c>
      <c r="C17" s="18">
        <v>1649</v>
      </c>
    </row>
    <row r="18" spans="2:3" x14ac:dyDescent="0.25">
      <c r="B18" s="3">
        <v>14</v>
      </c>
      <c r="C18" s="18">
        <v>1604</v>
      </c>
    </row>
    <row r="19" spans="2:3" x14ac:dyDescent="0.25">
      <c r="B19" s="3">
        <v>15</v>
      </c>
      <c r="C19" s="18">
        <v>1759</v>
      </c>
    </row>
    <row r="20" spans="2:3" x14ac:dyDescent="0.25">
      <c r="B20" s="3">
        <v>16</v>
      </c>
      <c r="C20" s="18">
        <v>1729</v>
      </c>
    </row>
    <row r="21" spans="2:3" x14ac:dyDescent="0.25">
      <c r="B21" s="3">
        <v>17</v>
      </c>
      <c r="C21" s="18">
        <v>1782</v>
      </c>
    </row>
    <row r="22" spans="2:3" x14ac:dyDescent="0.25">
      <c r="B22" s="3">
        <v>18</v>
      </c>
      <c r="C22" s="18">
        <v>1977</v>
      </c>
    </row>
    <row r="23" spans="2:3" x14ac:dyDescent="0.25">
      <c r="B23" s="3">
        <v>19</v>
      </c>
      <c r="C23" s="18">
        <v>2255</v>
      </c>
    </row>
    <row r="24" spans="2:3" x14ac:dyDescent="0.25">
      <c r="B24" s="3">
        <v>20</v>
      </c>
      <c r="C24" s="18">
        <v>2105</v>
      </c>
    </row>
    <row r="25" spans="2:3" x14ac:dyDescent="0.25">
      <c r="B25" s="3">
        <v>21</v>
      </c>
      <c r="C25" s="18">
        <v>2195</v>
      </c>
    </row>
    <row r="26" spans="2:3" x14ac:dyDescent="0.25">
      <c r="B26" s="3">
        <v>22</v>
      </c>
      <c r="C26" s="18">
        <v>2498</v>
      </c>
    </row>
    <row r="27" spans="2:3" x14ac:dyDescent="0.25">
      <c r="B27" s="3">
        <v>23</v>
      </c>
      <c r="C27" s="18">
        <v>2580</v>
      </c>
    </row>
    <row r="28" spans="2:3" x14ac:dyDescent="0.25">
      <c r="B28" s="3">
        <v>24</v>
      </c>
      <c r="C28" s="18">
        <v>2730</v>
      </c>
    </row>
    <row r="29" spans="2:3" x14ac:dyDescent="0.25">
      <c r="B29" s="3">
        <v>25</v>
      </c>
      <c r="C29" s="18">
        <v>2675</v>
      </c>
    </row>
    <row r="30" spans="2:3" x14ac:dyDescent="0.25">
      <c r="B30" s="3">
        <v>26</v>
      </c>
      <c r="C30" s="18">
        <v>2778</v>
      </c>
    </row>
    <row r="31" spans="2:3" x14ac:dyDescent="0.25">
      <c r="B31" s="3">
        <v>27</v>
      </c>
      <c r="C31" s="18">
        <v>2866</v>
      </c>
    </row>
    <row r="32" spans="2:3" x14ac:dyDescent="0.25">
      <c r="B32" s="3">
        <v>28</v>
      </c>
      <c r="C32" s="18">
        <v>3142</v>
      </c>
    </row>
    <row r="33" spans="2:3" x14ac:dyDescent="0.25">
      <c r="B33" s="3">
        <v>29</v>
      </c>
      <c r="C33" s="18">
        <v>3025</v>
      </c>
    </row>
    <row r="34" spans="2:3" x14ac:dyDescent="0.25">
      <c r="B34" s="3">
        <v>30</v>
      </c>
      <c r="C34" s="18">
        <v>2978</v>
      </c>
    </row>
    <row r="35" spans="2:3" x14ac:dyDescent="0.25">
      <c r="B35" s="3">
        <v>31</v>
      </c>
      <c r="C35" s="18">
        <v>3337</v>
      </c>
    </row>
    <row r="36" spans="2:3" x14ac:dyDescent="0.25">
      <c r="B36" s="3">
        <v>32</v>
      </c>
      <c r="C36" s="18">
        <v>3501</v>
      </c>
    </row>
    <row r="37" spans="2:3" x14ac:dyDescent="0.25">
      <c r="B37" s="3">
        <v>33</v>
      </c>
      <c r="C37" s="18">
        <v>3706</v>
      </c>
    </row>
    <row r="38" spans="2:3" x14ac:dyDescent="0.25">
      <c r="B38" s="3">
        <v>34</v>
      </c>
      <c r="C38" s="18">
        <v>3808</v>
      </c>
    </row>
    <row r="39" spans="2:3" x14ac:dyDescent="0.25">
      <c r="B39" s="3">
        <v>35</v>
      </c>
      <c r="C39" s="18">
        <v>3864</v>
      </c>
    </row>
    <row r="40" spans="2:3" x14ac:dyDescent="0.25">
      <c r="B40" s="3">
        <v>36</v>
      </c>
      <c r="C40" s="18">
        <v>3634</v>
      </c>
    </row>
    <row r="41" spans="2:3" x14ac:dyDescent="0.25">
      <c r="B41" s="3">
        <v>37</v>
      </c>
      <c r="C41" s="18">
        <v>4116</v>
      </c>
    </row>
    <row r="42" spans="2:3" x14ac:dyDescent="0.25">
      <c r="B42" s="3">
        <v>38</v>
      </c>
      <c r="C42" s="18">
        <v>4245</v>
      </c>
    </row>
    <row r="43" spans="2:3" x14ac:dyDescent="0.25">
      <c r="B43" s="3">
        <v>39</v>
      </c>
      <c r="C43" s="18">
        <v>4194</v>
      </c>
    </row>
    <row r="44" spans="2:3" x14ac:dyDescent="0.25">
      <c r="B44" s="3">
        <v>40</v>
      </c>
      <c r="C44" s="18">
        <v>4171</v>
      </c>
    </row>
    <row r="45" spans="2:3" x14ac:dyDescent="0.25">
      <c r="B45" s="3">
        <v>41</v>
      </c>
      <c r="C45" s="18">
        <v>4644</v>
      </c>
    </row>
    <row r="46" spans="2:3" x14ac:dyDescent="0.25">
      <c r="B46" s="3">
        <v>42</v>
      </c>
      <c r="C46" s="18">
        <v>4781</v>
      </c>
    </row>
    <row r="47" spans="2:3" x14ac:dyDescent="0.25">
      <c r="B47" s="3">
        <v>43</v>
      </c>
      <c r="C47" s="18">
        <v>5076</v>
      </c>
    </row>
    <row r="48" spans="2:3" x14ac:dyDescent="0.25">
      <c r="B48" s="3">
        <v>44</v>
      </c>
      <c r="C48" s="18">
        <v>5272</v>
      </c>
    </row>
    <row r="49" spans="2:3" x14ac:dyDescent="0.25">
      <c r="B49" s="3">
        <v>45</v>
      </c>
      <c r="C49" s="18">
        <v>4741</v>
      </c>
    </row>
    <row r="50" spans="2:3" x14ac:dyDescent="0.25">
      <c r="B50" s="3">
        <v>46</v>
      </c>
      <c r="C50" s="18">
        <v>5349</v>
      </c>
    </row>
    <row r="51" spans="2:3" x14ac:dyDescent="0.25">
      <c r="B51" s="3">
        <v>47</v>
      </c>
      <c r="C51" s="18">
        <v>5420</v>
      </c>
    </row>
    <row r="52" spans="2:3" x14ac:dyDescent="0.25">
      <c r="B52" s="3">
        <v>48</v>
      </c>
      <c r="C52" s="18">
        <v>5645</v>
      </c>
    </row>
    <row r="53" spans="2:3" x14ac:dyDescent="0.25">
      <c r="B53" s="3">
        <v>49</v>
      </c>
      <c r="C53" s="18">
        <v>5693</v>
      </c>
    </row>
    <row r="54" spans="2:3" x14ac:dyDescent="0.25">
      <c r="B54" s="3">
        <v>50</v>
      </c>
      <c r="C54" s="18">
        <v>6197</v>
      </c>
    </row>
    <row r="55" spans="2:3" x14ac:dyDescent="0.25">
      <c r="B55" s="3">
        <v>51</v>
      </c>
      <c r="C55" s="18">
        <v>5850</v>
      </c>
    </row>
    <row r="56" spans="2:3" x14ac:dyDescent="0.25">
      <c r="B56" s="3">
        <v>52</v>
      </c>
      <c r="C56" s="18">
        <v>6348</v>
      </c>
    </row>
    <row r="57" spans="2:3" x14ac:dyDescent="0.25">
      <c r="B57" s="3">
        <v>53</v>
      </c>
      <c r="C57" s="18">
        <v>6216</v>
      </c>
    </row>
    <row r="58" spans="2:3" x14ac:dyDescent="0.25">
      <c r="B58" s="3">
        <v>54</v>
      </c>
      <c r="C58" s="18">
        <v>6790</v>
      </c>
    </row>
    <row r="59" spans="2:3" x14ac:dyDescent="0.25">
      <c r="B59" s="3">
        <v>55</v>
      </c>
      <c r="C59" s="18">
        <v>6864</v>
      </c>
    </row>
    <row r="60" spans="2:3" x14ac:dyDescent="0.25">
      <c r="B60" s="3">
        <v>56</v>
      </c>
      <c r="C60" s="18">
        <v>6525</v>
      </c>
    </row>
    <row r="61" spans="2:3" x14ac:dyDescent="0.25">
      <c r="B61" s="3">
        <v>57</v>
      </c>
      <c r="C61" s="18">
        <v>6851</v>
      </c>
    </row>
    <row r="62" spans="2:3" x14ac:dyDescent="0.25">
      <c r="B62" s="3">
        <v>58</v>
      </c>
      <c r="C62" s="18">
        <v>7144</v>
      </c>
    </row>
    <row r="63" spans="2:3" x14ac:dyDescent="0.25">
      <c r="B63" s="3">
        <v>59</v>
      </c>
      <c r="C63" s="18">
        <v>7416</v>
      </c>
    </row>
    <row r="64" spans="2:3" x14ac:dyDescent="0.25">
      <c r="B64" s="3">
        <v>60</v>
      </c>
      <c r="C64" s="18">
        <v>7770</v>
      </c>
    </row>
    <row r="65" spans="2:3" x14ac:dyDescent="0.25">
      <c r="B65" s="3">
        <v>61</v>
      </c>
      <c r="C65" s="18">
        <v>7764</v>
      </c>
    </row>
    <row r="66" spans="2:3" x14ac:dyDescent="0.25">
      <c r="B66" s="3">
        <v>62</v>
      </c>
      <c r="C66" s="18">
        <v>8193</v>
      </c>
    </row>
    <row r="67" spans="2:3" x14ac:dyDescent="0.25">
      <c r="B67" s="3">
        <v>63</v>
      </c>
      <c r="C67" s="18">
        <v>7782</v>
      </c>
    </row>
    <row r="68" spans="2:3" x14ac:dyDescent="0.25">
      <c r="B68" s="3">
        <v>64</v>
      </c>
      <c r="C68" s="18">
        <v>8499</v>
      </c>
    </row>
    <row r="69" spans="2:3" x14ac:dyDescent="0.25">
      <c r="B69" s="3">
        <v>65</v>
      </c>
      <c r="C69" s="18">
        <v>8838</v>
      </c>
    </row>
    <row r="70" spans="2:3" x14ac:dyDescent="0.25">
      <c r="B70" s="3">
        <v>66</v>
      </c>
      <c r="C70" s="18">
        <v>8669</v>
      </c>
    </row>
    <row r="71" spans="2:3" x14ac:dyDescent="0.25">
      <c r="B71" s="3">
        <v>67</v>
      </c>
      <c r="C71" s="18">
        <v>8575</v>
      </c>
    </row>
    <row r="72" spans="2:3" x14ac:dyDescent="0.25">
      <c r="B72" s="3">
        <v>68</v>
      </c>
      <c r="C72" s="18">
        <v>8543</v>
      </c>
    </row>
    <row r="73" spans="2:3" x14ac:dyDescent="0.25">
      <c r="B73" s="3">
        <v>69</v>
      </c>
      <c r="C73" s="18">
        <v>9236</v>
      </c>
    </row>
    <row r="74" spans="2:3" x14ac:dyDescent="0.25">
      <c r="B74" s="3">
        <v>70</v>
      </c>
      <c r="C74" s="18">
        <v>9130</v>
      </c>
    </row>
    <row r="75" spans="2:3" x14ac:dyDescent="0.25">
      <c r="B75" s="3">
        <v>71</v>
      </c>
      <c r="C75" s="18">
        <v>9074</v>
      </c>
    </row>
    <row r="76" spans="2:3" x14ac:dyDescent="0.25">
      <c r="B76" s="3">
        <v>72</v>
      </c>
      <c r="C76" s="18">
        <v>8948</v>
      </c>
    </row>
    <row r="77" spans="2:3" x14ac:dyDescent="0.25">
      <c r="B77" s="3">
        <v>73</v>
      </c>
      <c r="C77" s="18">
        <v>10199</v>
      </c>
    </row>
    <row r="78" spans="2:3" x14ac:dyDescent="0.25">
      <c r="B78" s="3">
        <v>74</v>
      </c>
      <c r="C78" s="18">
        <v>10789</v>
      </c>
    </row>
    <row r="79" spans="2:3" x14ac:dyDescent="0.25">
      <c r="B79" s="3">
        <v>75</v>
      </c>
      <c r="C79" s="18">
        <v>10279</v>
      </c>
    </row>
    <row r="80" spans="2:3" x14ac:dyDescent="0.25">
      <c r="B80" s="3">
        <v>76</v>
      </c>
      <c r="C80" s="18">
        <v>10629</v>
      </c>
    </row>
    <row r="81" spans="2:3" x14ac:dyDescent="0.25">
      <c r="B81" s="3">
        <v>77</v>
      </c>
      <c r="C81" s="18">
        <v>10492</v>
      </c>
    </row>
    <row r="82" spans="2:3" x14ac:dyDescent="0.25">
      <c r="B82" s="3">
        <v>78</v>
      </c>
      <c r="C82" s="18">
        <v>10063</v>
      </c>
    </row>
    <row r="83" spans="2:3" x14ac:dyDescent="0.25">
      <c r="B83" s="3">
        <v>79</v>
      </c>
      <c r="C83" s="18">
        <v>11457</v>
      </c>
    </row>
    <row r="84" spans="2:3" x14ac:dyDescent="0.25">
      <c r="B84" s="3">
        <v>80</v>
      </c>
      <c r="C84" s="18">
        <v>11833</v>
      </c>
    </row>
    <row r="85" spans="2:3" x14ac:dyDescent="0.25">
      <c r="B85" s="3">
        <v>81</v>
      </c>
      <c r="C85" s="18">
        <v>12171</v>
      </c>
    </row>
    <row r="86" spans="2:3" x14ac:dyDescent="0.25">
      <c r="B86" s="3">
        <v>82</v>
      </c>
      <c r="C86" s="18">
        <v>11688</v>
      </c>
    </row>
    <row r="87" spans="2:3" x14ac:dyDescent="0.25">
      <c r="B87" s="3">
        <v>83</v>
      </c>
      <c r="C87" s="18">
        <v>12625</v>
      </c>
    </row>
    <row r="88" spans="2:3" x14ac:dyDescent="0.25">
      <c r="B88" s="3">
        <v>84</v>
      </c>
    </row>
    <row r="89" spans="2:3" x14ac:dyDescent="0.25">
      <c r="B89" s="3">
        <v>85</v>
      </c>
    </row>
    <row r="90" spans="2:3" x14ac:dyDescent="0.25">
      <c r="B90" s="3">
        <v>86</v>
      </c>
    </row>
    <row r="91" spans="2:3" x14ac:dyDescent="0.25">
      <c r="B91" s="3">
        <v>87</v>
      </c>
    </row>
    <row r="92" spans="2:3" x14ac:dyDescent="0.25">
      <c r="B92" s="3">
        <v>88</v>
      </c>
    </row>
    <row r="93" spans="2:3" x14ac:dyDescent="0.25">
      <c r="B93" s="3">
        <v>89</v>
      </c>
    </row>
    <row r="94" spans="2:3" x14ac:dyDescent="0.25">
      <c r="B94" s="3">
        <v>90</v>
      </c>
    </row>
    <row r="95" spans="2:3" x14ac:dyDescent="0.25">
      <c r="B95" s="3">
        <v>91</v>
      </c>
    </row>
    <row r="96" spans="2:3" x14ac:dyDescent="0.25">
      <c r="B96" s="3">
        <v>92</v>
      </c>
    </row>
    <row r="97" spans="2:4" x14ac:dyDescent="0.25">
      <c r="B97" s="3">
        <v>93</v>
      </c>
    </row>
    <row r="98" spans="2:4" x14ac:dyDescent="0.25">
      <c r="B98" s="3">
        <v>94</v>
      </c>
    </row>
    <row r="99" spans="2:4" x14ac:dyDescent="0.25">
      <c r="B99" s="3">
        <v>95</v>
      </c>
    </row>
    <row r="100" spans="2:4" x14ac:dyDescent="0.25">
      <c r="B100" s="3">
        <v>96</v>
      </c>
    </row>
    <row r="101" spans="2:4" x14ac:dyDescent="0.25">
      <c r="B101" s="3">
        <v>97</v>
      </c>
    </row>
    <row r="102" spans="2:4" x14ac:dyDescent="0.25">
      <c r="B102" s="3">
        <v>98</v>
      </c>
    </row>
    <row r="103" spans="2:4" x14ac:dyDescent="0.25">
      <c r="B103" s="3">
        <v>99</v>
      </c>
    </row>
    <row r="104" spans="2:4" x14ac:dyDescent="0.25">
      <c r="B104" s="3">
        <v>100</v>
      </c>
      <c r="D104" s="7"/>
    </row>
  </sheetData>
  <pageMargins left="0.7" right="0.7" top="0.78740157499999996" bottom="0.78740157499999996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63B1-2413-4BF0-B813-902CDD3C0AA7}">
  <sheetPr>
    <tabColor rgb="FFFAD8D8"/>
  </sheetPr>
  <dimension ref="A1:D10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1.42578125" defaultRowHeight="15" x14ac:dyDescent="0.25"/>
  <cols>
    <col min="1" max="1" width="3.7109375" style="144" customWidth="1"/>
    <col min="2" max="2" width="29.85546875" style="3" customWidth="1"/>
    <col min="3" max="16384" width="11.42578125" style="3"/>
  </cols>
  <sheetData>
    <row r="1" spans="2:4" s="144" customFormat="1" x14ac:dyDescent="0.25"/>
    <row r="2" spans="2:4" ht="23.25" x14ac:dyDescent="0.35">
      <c r="B2" s="6" t="s">
        <v>121</v>
      </c>
    </row>
    <row r="4" spans="2:4" x14ac:dyDescent="0.25">
      <c r="B4" s="3" t="s">
        <v>14</v>
      </c>
      <c r="C4" s="3">
        <v>230</v>
      </c>
      <c r="D4" s="3" t="s">
        <v>17</v>
      </c>
    </row>
    <row r="5" spans="2:4" x14ac:dyDescent="0.25">
      <c r="B5" s="3" t="s">
        <v>15</v>
      </c>
      <c r="C5" s="3">
        <v>25</v>
      </c>
      <c r="D5" s="149" t="s">
        <v>112</v>
      </c>
    </row>
    <row r="6" spans="2:4" x14ac:dyDescent="0.25">
      <c r="B6" s="3" t="s">
        <v>16</v>
      </c>
      <c r="C6" s="15">
        <v>0.02</v>
      </c>
      <c r="D6" s="149" t="s">
        <v>110</v>
      </c>
    </row>
    <row r="7" spans="2:4" x14ac:dyDescent="0.25">
      <c r="B7" s="3" t="s">
        <v>34</v>
      </c>
      <c r="C7" s="15">
        <v>0.1</v>
      </c>
      <c r="D7" s="149" t="s">
        <v>110</v>
      </c>
    </row>
    <row r="8" spans="2:4" x14ac:dyDescent="0.25">
      <c r="B8" s="3" t="s">
        <v>19</v>
      </c>
      <c r="C8" s="18">
        <v>2200</v>
      </c>
      <c r="D8" s="149" t="s">
        <v>111</v>
      </c>
    </row>
    <row r="10" spans="2:4" x14ac:dyDescent="0.25">
      <c r="B10" s="3" t="s">
        <v>18</v>
      </c>
      <c r="C10" s="7"/>
    </row>
  </sheetData>
  <pageMargins left="0.7" right="0.7" top="0.78740157499999996" bottom="0.78740157499999996" header="0.3" footer="0.3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2AC9B-8BB4-414B-AFB5-FD3A46F2C8C2}">
  <sheetPr>
    <tabColor rgb="FFFAD8D8"/>
  </sheetPr>
  <dimension ref="A1:D10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0.7109375" defaultRowHeight="15" x14ac:dyDescent="0.25"/>
  <cols>
    <col min="1" max="1" width="3.7109375" style="144" customWidth="1"/>
    <col min="2" max="2" width="30.42578125" style="3" customWidth="1"/>
    <col min="3" max="3" width="10.7109375" style="3"/>
    <col min="4" max="4" width="12.28515625" style="3" customWidth="1"/>
    <col min="5" max="16384" width="10.7109375" style="3"/>
  </cols>
  <sheetData>
    <row r="1" spans="2:4" s="144" customFormat="1" x14ac:dyDescent="0.25"/>
    <row r="2" spans="2:4" ht="23.25" x14ac:dyDescent="0.35">
      <c r="B2" s="6" t="s">
        <v>122</v>
      </c>
    </row>
    <row r="4" spans="2:4" x14ac:dyDescent="0.25">
      <c r="B4" s="3" t="s">
        <v>14</v>
      </c>
      <c r="C4" s="3">
        <v>230</v>
      </c>
      <c r="D4" s="3" t="s">
        <v>17</v>
      </c>
    </row>
    <row r="5" spans="2:4" x14ac:dyDescent="0.25">
      <c r="B5" s="3" t="s">
        <v>15</v>
      </c>
      <c r="C5" s="3">
        <v>25</v>
      </c>
      <c r="D5" s="3" t="s">
        <v>17</v>
      </c>
    </row>
    <row r="6" spans="2:4" x14ac:dyDescent="0.25">
      <c r="B6" s="3" t="s">
        <v>19</v>
      </c>
      <c r="C6" s="18">
        <v>2200</v>
      </c>
      <c r="D6" s="3" t="s">
        <v>111</v>
      </c>
    </row>
    <row r="7" spans="2:4" x14ac:dyDescent="0.25">
      <c r="B7" s="3" t="s">
        <v>20</v>
      </c>
      <c r="C7" s="3">
        <v>50</v>
      </c>
      <c r="D7" s="3" t="s">
        <v>133</v>
      </c>
    </row>
    <row r="8" spans="2:4" x14ac:dyDescent="0.25">
      <c r="B8" s="3" t="s">
        <v>22</v>
      </c>
      <c r="C8" s="3">
        <v>3</v>
      </c>
      <c r="D8" s="3" t="s">
        <v>21</v>
      </c>
    </row>
    <row r="10" spans="2:4" x14ac:dyDescent="0.25">
      <c r="B10" s="3" t="s">
        <v>107</v>
      </c>
      <c r="C10" s="119"/>
    </row>
  </sheetData>
  <pageMargins left="0.7" right="0.7" top="0.78740157499999996" bottom="0.78740157499999996" header="0.3" footer="0.3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C99C6-8502-4036-B595-1FA1F7E468AD}">
  <sheetPr>
    <tabColor rgb="FFFAD8D8"/>
  </sheetPr>
  <dimension ref="A1:K20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0.7109375" defaultRowHeight="15" x14ac:dyDescent="0.25"/>
  <cols>
    <col min="1" max="1" width="3.7109375" style="144" customWidth="1"/>
    <col min="2" max="2" width="20.28515625" style="3" customWidth="1"/>
    <col min="3" max="3" width="16.7109375" style="3" customWidth="1"/>
    <col min="4" max="4" width="13.7109375" style="3" customWidth="1"/>
    <col min="5" max="5" width="20.42578125" style="3" customWidth="1"/>
    <col min="6" max="6" width="11.85546875" style="3" customWidth="1"/>
    <col min="7" max="7" width="10.7109375" style="3"/>
    <col min="8" max="8" width="10.7109375" style="3" customWidth="1"/>
    <col min="9" max="10" width="10.7109375" style="3"/>
    <col min="11" max="12" width="14.7109375" style="3" customWidth="1"/>
    <col min="13" max="16384" width="10.7109375" style="3"/>
  </cols>
  <sheetData>
    <row r="1" spans="2:11" s="144" customFormat="1" x14ac:dyDescent="0.25"/>
    <row r="2" spans="2:11" ht="23.25" x14ac:dyDescent="0.35">
      <c r="B2" s="6" t="s">
        <v>123</v>
      </c>
    </row>
    <row r="4" spans="2:11" x14ac:dyDescent="0.25">
      <c r="B4" s="3" t="s">
        <v>14</v>
      </c>
      <c r="C4" s="3">
        <v>250</v>
      </c>
      <c r="D4" s="3" t="s">
        <v>17</v>
      </c>
    </row>
    <row r="5" spans="2:11" x14ac:dyDescent="0.25">
      <c r="B5" s="3" t="s">
        <v>16</v>
      </c>
      <c r="C5" s="17">
        <v>120</v>
      </c>
      <c r="D5" s="3" t="s">
        <v>24</v>
      </c>
    </row>
    <row r="6" spans="2:11" ht="30" x14ac:dyDescent="0.25">
      <c r="B6" s="137" t="s">
        <v>102</v>
      </c>
      <c r="C6" s="17">
        <v>5</v>
      </c>
      <c r="D6" s="3" t="s">
        <v>113</v>
      </c>
    </row>
    <row r="7" spans="2:11" x14ac:dyDescent="0.25">
      <c r="B7" s="3" t="s">
        <v>20</v>
      </c>
      <c r="C7" s="3">
        <v>50</v>
      </c>
      <c r="D7" s="3" t="s">
        <v>130</v>
      </c>
    </row>
    <row r="8" spans="2:11" x14ac:dyDescent="0.25">
      <c r="B8" s="3" t="s">
        <v>22</v>
      </c>
      <c r="C8" s="3">
        <v>3</v>
      </c>
      <c r="D8" s="3" t="s">
        <v>21</v>
      </c>
    </row>
    <row r="9" spans="2:11" x14ac:dyDescent="0.25">
      <c r="B9" s="3" t="s">
        <v>131</v>
      </c>
      <c r="C9" s="19">
        <v>20</v>
      </c>
      <c r="D9" s="3" t="s">
        <v>132</v>
      </c>
    </row>
    <row r="10" spans="2:11" x14ac:dyDescent="0.25">
      <c r="C10" s="19"/>
    </row>
    <row r="11" spans="2:11" ht="42.75" customHeight="1" x14ac:dyDescent="0.25">
      <c r="B11" s="192" t="s">
        <v>104</v>
      </c>
      <c r="C11" s="192"/>
      <c r="E11" s="186" t="s">
        <v>26</v>
      </c>
      <c r="F11" s="183" t="s">
        <v>33</v>
      </c>
      <c r="G11" s="184"/>
      <c r="H11" s="184"/>
      <c r="I11" s="184"/>
      <c r="J11" s="185"/>
      <c r="K11" s="186" t="s">
        <v>25</v>
      </c>
    </row>
    <row r="12" spans="2:11" x14ac:dyDescent="0.25">
      <c r="E12" s="191"/>
      <c r="F12" s="113">
        <v>55</v>
      </c>
      <c r="G12" s="112">
        <v>60</v>
      </c>
      <c r="H12" s="112">
        <v>65</v>
      </c>
      <c r="I12" s="112">
        <v>70</v>
      </c>
      <c r="J12" s="27">
        <v>75</v>
      </c>
      <c r="K12" s="187"/>
    </row>
    <row r="13" spans="2:11" ht="15" customHeight="1" x14ac:dyDescent="0.25">
      <c r="E13" s="114">
        <v>55</v>
      </c>
      <c r="F13" s="120"/>
      <c r="G13" s="121"/>
      <c r="H13" s="121"/>
      <c r="I13" s="121"/>
      <c r="J13" s="121"/>
      <c r="K13" s="151"/>
    </row>
    <row r="14" spans="2:11" ht="15" customHeight="1" x14ac:dyDescent="0.25">
      <c r="B14" s="5"/>
      <c r="C14" s="5"/>
      <c r="E14" s="114">
        <v>60</v>
      </c>
      <c r="F14" s="122"/>
      <c r="G14" s="123"/>
      <c r="H14" s="123"/>
      <c r="I14" s="123"/>
      <c r="J14" s="123"/>
      <c r="K14" s="152"/>
    </row>
    <row r="15" spans="2:11" ht="15" customHeight="1" x14ac:dyDescent="0.25">
      <c r="C15" s="16"/>
      <c r="E15" s="115">
        <v>65</v>
      </c>
      <c r="F15" s="122"/>
      <c r="G15" s="123"/>
      <c r="H15" s="123"/>
      <c r="I15" s="123"/>
      <c r="J15" s="123"/>
      <c r="K15" s="152"/>
    </row>
    <row r="16" spans="2:11" ht="15" customHeight="1" x14ac:dyDescent="0.25">
      <c r="C16" s="16"/>
      <c r="E16" s="115">
        <v>70</v>
      </c>
      <c r="F16" s="122"/>
      <c r="G16" s="123"/>
      <c r="H16" s="123"/>
      <c r="I16" s="123"/>
      <c r="J16" s="123"/>
      <c r="K16" s="152"/>
    </row>
    <row r="17" spans="3:11" ht="15" customHeight="1" x14ac:dyDescent="0.25">
      <c r="C17" s="16"/>
      <c r="E17" s="116">
        <v>75</v>
      </c>
      <c r="F17" s="124"/>
      <c r="G17" s="125"/>
      <c r="H17" s="125"/>
      <c r="I17" s="125"/>
      <c r="J17" s="125"/>
      <c r="K17" s="153"/>
    </row>
    <row r="18" spans="3:11" ht="15" customHeight="1" x14ac:dyDescent="0.25">
      <c r="C18" s="16"/>
      <c r="E18" s="22"/>
      <c r="F18" s="117">
        <v>0.13</v>
      </c>
      <c r="G18" s="23">
        <v>0.18</v>
      </c>
      <c r="H18" s="23">
        <v>0.42</v>
      </c>
      <c r="I18" s="23">
        <v>0.17</v>
      </c>
      <c r="J18" s="118">
        <v>0.08</v>
      </c>
      <c r="K18" s="150"/>
    </row>
    <row r="19" spans="3:11" ht="15" customHeight="1" x14ac:dyDescent="0.25">
      <c r="C19" s="16"/>
      <c r="E19" s="26"/>
      <c r="F19" s="188" t="s">
        <v>103</v>
      </c>
      <c r="G19" s="189"/>
      <c r="H19" s="189"/>
      <c r="I19" s="189"/>
      <c r="J19" s="190"/>
    </row>
    <row r="20" spans="3:11" ht="15" customHeight="1" x14ac:dyDescent="0.25">
      <c r="E20" s="26"/>
    </row>
  </sheetData>
  <mergeCells count="5">
    <mergeCell ref="F11:J11"/>
    <mergeCell ref="K11:K12"/>
    <mergeCell ref="F19:J19"/>
    <mergeCell ref="E11:E12"/>
    <mergeCell ref="B11:C11"/>
  </mergeCells>
  <pageMargins left="0.7" right="0.7" top="0.78740157499999996" bottom="0.78740157499999996" header="0.3" footer="0.3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19500-68E7-40A0-8F69-B101323E860E}">
  <sheetPr>
    <tabColor rgb="FFFAD8D8"/>
  </sheetPr>
  <dimension ref="A1:J20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0.7109375" defaultRowHeight="15" x14ac:dyDescent="0.25"/>
  <cols>
    <col min="1" max="1" width="3.7109375" style="144" customWidth="1"/>
    <col min="2" max="2" width="19.5703125" style="3" customWidth="1"/>
    <col min="3" max="9" width="15.140625" style="3" customWidth="1"/>
    <col min="10" max="16384" width="10.7109375" style="3"/>
  </cols>
  <sheetData>
    <row r="1" spans="2:10" s="144" customFormat="1" x14ac:dyDescent="0.25"/>
    <row r="2" spans="2:10" ht="23.25" x14ac:dyDescent="0.35">
      <c r="B2" s="6" t="s">
        <v>124</v>
      </c>
    </row>
    <row r="4" spans="2:10" x14ac:dyDescent="0.25">
      <c r="B4" s="3" t="s">
        <v>27</v>
      </c>
      <c r="C4" s="3">
        <v>2</v>
      </c>
      <c r="D4" s="3" t="s">
        <v>114</v>
      </c>
    </row>
    <row r="5" spans="2:10" x14ac:dyDescent="0.25">
      <c r="B5" s="3" t="s">
        <v>29</v>
      </c>
      <c r="C5" s="170">
        <v>4000</v>
      </c>
      <c r="D5" s="3" t="s">
        <v>28</v>
      </c>
    </row>
    <row r="8" spans="2:10" ht="60" x14ac:dyDescent="0.25">
      <c r="C8" s="28" t="s">
        <v>0</v>
      </c>
      <c r="D8" s="29" t="s">
        <v>117</v>
      </c>
      <c r="E8" s="29" t="s">
        <v>30</v>
      </c>
      <c r="F8" s="29" t="s">
        <v>116</v>
      </c>
      <c r="G8" s="29" t="s">
        <v>31</v>
      </c>
      <c r="H8" s="29" t="s">
        <v>32</v>
      </c>
      <c r="I8" s="29" t="s">
        <v>115</v>
      </c>
      <c r="J8" s="30" t="s">
        <v>118</v>
      </c>
    </row>
    <row r="9" spans="2:10" x14ac:dyDescent="0.25">
      <c r="C9" s="53">
        <v>1</v>
      </c>
      <c r="D9" s="161">
        <v>245</v>
      </c>
      <c r="E9" s="161">
        <v>2306</v>
      </c>
      <c r="F9" s="18">
        <f>D9+E9</f>
        <v>2551</v>
      </c>
      <c r="G9" s="161">
        <v>1055</v>
      </c>
      <c r="H9" s="161">
        <v>1302</v>
      </c>
      <c r="I9" s="161">
        <v>1034</v>
      </c>
      <c r="J9" s="162">
        <v>513</v>
      </c>
    </row>
    <row r="10" spans="2:10" x14ac:dyDescent="0.25">
      <c r="C10" s="31">
        <v>2</v>
      </c>
      <c r="D10" s="163">
        <f>J9</f>
        <v>513</v>
      </c>
      <c r="E10" s="163">
        <v>2059</v>
      </c>
      <c r="F10" s="18">
        <f t="shared" ref="F10:F20" si="0">D10+E10</f>
        <v>2572</v>
      </c>
      <c r="G10" s="163">
        <v>1251</v>
      </c>
      <c r="H10" s="163">
        <v>1004</v>
      </c>
      <c r="I10" s="163">
        <v>1115</v>
      </c>
      <c r="J10" s="162">
        <f t="shared" ref="J10:J20" si="1">D10+H10-I10</f>
        <v>402</v>
      </c>
    </row>
    <row r="11" spans="2:10" ht="14.25" customHeight="1" x14ac:dyDescent="0.25">
      <c r="B11" s="193" t="s">
        <v>105</v>
      </c>
      <c r="C11" s="126">
        <v>3</v>
      </c>
      <c r="D11" s="163">
        <f t="shared" ref="D11:D20" si="2">J10</f>
        <v>402</v>
      </c>
      <c r="E11" s="164"/>
      <c r="F11" s="18">
        <f>D11+E11</f>
        <v>402</v>
      </c>
      <c r="G11" s="164"/>
      <c r="H11" s="164"/>
      <c r="I11" s="163">
        <v>1107</v>
      </c>
      <c r="J11" s="162">
        <f t="shared" si="1"/>
        <v>-705</v>
      </c>
    </row>
    <row r="12" spans="2:10" x14ac:dyDescent="0.25">
      <c r="B12" s="193"/>
      <c r="C12" s="126">
        <v>4</v>
      </c>
      <c r="D12" s="163">
        <f t="shared" si="2"/>
        <v>-705</v>
      </c>
      <c r="E12" s="164"/>
      <c r="F12" s="18">
        <f t="shared" si="0"/>
        <v>-705</v>
      </c>
      <c r="G12" s="164"/>
      <c r="H12" s="164"/>
      <c r="I12" s="163">
        <v>1196</v>
      </c>
      <c r="J12" s="162">
        <f t="shared" si="1"/>
        <v>-1901</v>
      </c>
    </row>
    <row r="13" spans="2:10" x14ac:dyDescent="0.25">
      <c r="B13" s="193"/>
      <c r="C13" s="126">
        <v>5</v>
      </c>
      <c r="D13" s="163">
        <f t="shared" si="2"/>
        <v>-1901</v>
      </c>
      <c r="E13" s="164"/>
      <c r="F13" s="18">
        <f t="shared" si="0"/>
        <v>-1901</v>
      </c>
      <c r="G13" s="164"/>
      <c r="H13" s="164"/>
      <c r="I13" s="163">
        <v>1075</v>
      </c>
      <c r="J13" s="162">
        <f>D13+H13-I13</f>
        <v>-2976</v>
      </c>
    </row>
    <row r="14" spans="2:10" x14ac:dyDescent="0.25">
      <c r="B14" s="193"/>
      <c r="C14" s="126">
        <v>6</v>
      </c>
      <c r="D14" s="163">
        <f t="shared" si="2"/>
        <v>-2976</v>
      </c>
      <c r="E14" s="164"/>
      <c r="F14" s="18">
        <f t="shared" si="0"/>
        <v>-2976</v>
      </c>
      <c r="G14" s="164"/>
      <c r="H14" s="164"/>
      <c r="I14" s="163">
        <v>1098</v>
      </c>
      <c r="J14" s="162">
        <f t="shared" si="1"/>
        <v>-4074</v>
      </c>
    </row>
    <row r="15" spans="2:10" x14ac:dyDescent="0.25">
      <c r="B15" s="193"/>
      <c r="C15" s="126">
        <v>7</v>
      </c>
      <c r="D15" s="163">
        <f t="shared" si="2"/>
        <v>-4074</v>
      </c>
      <c r="E15" s="164"/>
      <c r="F15" s="18">
        <f t="shared" si="0"/>
        <v>-4074</v>
      </c>
      <c r="G15" s="164"/>
      <c r="H15" s="164"/>
      <c r="I15" s="163">
        <v>1205</v>
      </c>
      <c r="J15" s="162">
        <f t="shared" si="1"/>
        <v>-5279</v>
      </c>
    </row>
    <row r="16" spans="2:10" x14ac:dyDescent="0.25">
      <c r="B16" s="193"/>
      <c r="C16" s="126">
        <v>8</v>
      </c>
      <c r="D16" s="163">
        <f t="shared" si="2"/>
        <v>-5279</v>
      </c>
      <c r="E16" s="164"/>
      <c r="F16" s="18">
        <f t="shared" si="0"/>
        <v>-5279</v>
      </c>
      <c r="G16" s="164"/>
      <c r="H16" s="164"/>
      <c r="I16" s="163">
        <v>993</v>
      </c>
      <c r="J16" s="162">
        <f t="shared" si="1"/>
        <v>-6272</v>
      </c>
    </row>
    <row r="17" spans="2:10" x14ac:dyDescent="0.25">
      <c r="B17" s="193"/>
      <c r="C17" s="126">
        <v>9</v>
      </c>
      <c r="D17" s="163">
        <f t="shared" si="2"/>
        <v>-6272</v>
      </c>
      <c r="E17" s="164"/>
      <c r="F17" s="18">
        <f t="shared" si="0"/>
        <v>-6272</v>
      </c>
      <c r="G17" s="164"/>
      <c r="H17" s="164"/>
      <c r="I17" s="163">
        <v>1123</v>
      </c>
      <c r="J17" s="162">
        <f t="shared" si="1"/>
        <v>-7395</v>
      </c>
    </row>
    <row r="18" spans="2:10" x14ac:dyDescent="0.25">
      <c r="B18" s="193"/>
      <c r="C18" s="126">
        <v>10</v>
      </c>
      <c r="D18" s="163">
        <f t="shared" si="2"/>
        <v>-7395</v>
      </c>
      <c r="E18" s="164"/>
      <c r="F18" s="18">
        <f t="shared" si="0"/>
        <v>-7395</v>
      </c>
      <c r="G18" s="164"/>
      <c r="H18" s="164"/>
      <c r="I18" s="163">
        <v>1065</v>
      </c>
      <c r="J18" s="165">
        <f>D18+H18-I18</f>
        <v>-8460</v>
      </c>
    </row>
    <row r="19" spans="2:10" x14ac:dyDescent="0.25">
      <c r="B19" s="193"/>
      <c r="C19" s="126">
        <v>11</v>
      </c>
      <c r="D19" s="163">
        <f t="shared" si="2"/>
        <v>-8460</v>
      </c>
      <c r="E19" s="164"/>
      <c r="F19" s="18">
        <f t="shared" si="0"/>
        <v>-8460</v>
      </c>
      <c r="G19" s="164"/>
      <c r="H19" s="164"/>
      <c r="I19" s="163">
        <v>981</v>
      </c>
      <c r="J19" s="162">
        <f t="shared" si="1"/>
        <v>-9441</v>
      </c>
    </row>
    <row r="20" spans="2:10" x14ac:dyDescent="0.25">
      <c r="B20" s="193"/>
      <c r="C20" s="127">
        <v>12</v>
      </c>
      <c r="D20" s="166">
        <f t="shared" si="2"/>
        <v>-9441</v>
      </c>
      <c r="E20" s="167"/>
      <c r="F20" s="168">
        <f t="shared" si="0"/>
        <v>-9441</v>
      </c>
      <c r="G20" s="167"/>
      <c r="H20" s="167"/>
      <c r="I20" s="166">
        <v>1086</v>
      </c>
      <c r="J20" s="169">
        <f t="shared" si="1"/>
        <v>-10527</v>
      </c>
    </row>
  </sheetData>
  <mergeCells count="1">
    <mergeCell ref="B11:B20"/>
  </mergeCells>
  <pageMargins left="0.7" right="0.7" top="0.78740157499999996" bottom="0.78740157499999996" header="0.3" footer="0.3"/>
  <pageSetup paperSize="9"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29E78-6F16-45D2-B303-BFA2D0556EFE}">
  <sheetPr>
    <tabColor theme="8" tint="0.79998168889431442"/>
  </sheetPr>
  <dimension ref="A1:G21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RowHeight="15" x14ac:dyDescent="0.25"/>
  <cols>
    <col min="1" max="1" width="3.7109375" style="144" customWidth="1"/>
    <col min="2" max="2" width="35.7109375" customWidth="1"/>
    <col min="3" max="7" width="16.7109375" customWidth="1"/>
  </cols>
  <sheetData>
    <row r="1" spans="2:7" s="144" customFormat="1" x14ac:dyDescent="0.25"/>
    <row r="2" spans="2:7" ht="23.25" x14ac:dyDescent="0.25">
      <c r="B2" s="33" t="s">
        <v>125</v>
      </c>
      <c r="C2" s="34"/>
      <c r="D2" s="34"/>
      <c r="E2" s="34"/>
      <c r="F2" s="34"/>
      <c r="G2" s="34"/>
    </row>
    <row r="3" spans="2:7" x14ac:dyDescent="0.25">
      <c r="B3" s="34"/>
      <c r="C3" s="34"/>
      <c r="D3" s="34"/>
      <c r="E3" s="34"/>
      <c r="F3" s="34"/>
      <c r="G3" s="34"/>
    </row>
    <row r="4" spans="2:7" x14ac:dyDescent="0.25">
      <c r="B4" s="34" t="s">
        <v>27</v>
      </c>
      <c r="C4" s="34">
        <v>4</v>
      </c>
      <c r="D4" s="34" t="s">
        <v>21</v>
      </c>
      <c r="G4" s="34"/>
    </row>
    <row r="5" spans="2:7" x14ac:dyDescent="0.25">
      <c r="B5" s="34" t="s">
        <v>16</v>
      </c>
      <c r="C5" s="35">
        <v>0.5</v>
      </c>
      <c r="D5" s="34" t="s">
        <v>35</v>
      </c>
      <c r="G5" s="36"/>
    </row>
    <row r="6" spans="2:7" x14ac:dyDescent="0.25">
      <c r="B6" s="34" t="s">
        <v>36</v>
      </c>
      <c r="C6" s="35">
        <v>10</v>
      </c>
      <c r="D6" s="34" t="s">
        <v>35</v>
      </c>
      <c r="G6" s="34"/>
    </row>
    <row r="7" spans="2:7" x14ac:dyDescent="0.25">
      <c r="B7" s="37" t="s">
        <v>52</v>
      </c>
      <c r="C7" s="52">
        <v>0.95238095238095233</v>
      </c>
      <c r="D7" s="37"/>
      <c r="E7" s="38"/>
      <c r="F7" s="37"/>
      <c r="G7" s="37"/>
    </row>
    <row r="8" spans="2:7" x14ac:dyDescent="0.25">
      <c r="B8" s="37" t="s">
        <v>120</v>
      </c>
      <c r="C8" s="155"/>
      <c r="D8" s="37"/>
      <c r="E8" s="39"/>
      <c r="F8" s="37"/>
      <c r="G8" s="37"/>
    </row>
    <row r="9" spans="2:7" x14ac:dyDescent="0.25">
      <c r="B9" s="37"/>
      <c r="C9" s="37"/>
      <c r="D9" s="37"/>
      <c r="E9" s="39"/>
      <c r="F9" s="37"/>
      <c r="G9" s="37"/>
    </row>
    <row r="10" spans="2:7" x14ac:dyDescent="0.25">
      <c r="B10" s="34"/>
      <c r="C10" s="34"/>
      <c r="D10" s="34"/>
      <c r="E10" s="34"/>
      <c r="F10" s="34"/>
      <c r="G10" s="34"/>
    </row>
    <row r="11" spans="2:7" x14ac:dyDescent="0.25">
      <c r="B11" s="40"/>
      <c r="C11" s="41" t="s">
        <v>37</v>
      </c>
      <c r="D11" s="41" t="s">
        <v>38</v>
      </c>
      <c r="E11" s="42" t="s">
        <v>39</v>
      </c>
      <c r="F11" s="42" t="s">
        <v>40</v>
      </c>
      <c r="G11" s="42" t="s">
        <v>41</v>
      </c>
    </row>
    <row r="12" spans="2:7" x14ac:dyDescent="0.25">
      <c r="B12" s="43" t="s">
        <v>42</v>
      </c>
      <c r="C12" s="44" t="s">
        <v>43</v>
      </c>
      <c r="D12" s="44" t="s">
        <v>43</v>
      </c>
      <c r="E12" s="44" t="s">
        <v>44</v>
      </c>
      <c r="F12" s="44" t="s">
        <v>28</v>
      </c>
      <c r="G12" s="44" t="s">
        <v>45</v>
      </c>
    </row>
    <row r="13" spans="2:7" x14ac:dyDescent="0.25">
      <c r="B13" s="45" t="s">
        <v>46</v>
      </c>
      <c r="C13" s="46">
        <v>3200</v>
      </c>
      <c r="D13" s="46">
        <v>850</v>
      </c>
      <c r="E13" s="47">
        <v>0.265625</v>
      </c>
      <c r="F13" s="46">
        <v>19171.040704318548</v>
      </c>
      <c r="G13" s="46">
        <v>1979.5551795175436</v>
      </c>
    </row>
    <row r="14" spans="2:7" x14ac:dyDescent="0.25">
      <c r="B14" s="45" t="s">
        <v>47</v>
      </c>
      <c r="C14" s="46">
        <v>1950</v>
      </c>
      <c r="D14" s="128"/>
      <c r="E14" s="47">
        <v>0.50769230769230766</v>
      </c>
      <c r="F14" s="46">
        <v>13443.329761500399</v>
      </c>
      <c r="G14" s="46">
        <v>2305.5995620263152</v>
      </c>
    </row>
    <row r="15" spans="2:7" x14ac:dyDescent="0.25">
      <c r="B15" s="45" t="s">
        <v>48</v>
      </c>
      <c r="C15" s="46">
        <v>1200</v>
      </c>
      <c r="D15" s="46">
        <v>210</v>
      </c>
      <c r="E15" s="47">
        <v>0.17499999999999999</v>
      </c>
      <c r="F15" s="46">
        <v>6783.4335857728174</v>
      </c>
      <c r="G15" s="46">
        <v>489.06657376315786</v>
      </c>
    </row>
    <row r="16" spans="2:7" x14ac:dyDescent="0.25">
      <c r="B16" s="48" t="s">
        <v>49</v>
      </c>
      <c r="C16" s="49">
        <v>980</v>
      </c>
      <c r="D16" s="49">
        <v>470</v>
      </c>
      <c r="E16" s="50">
        <v>0.47959183673469385</v>
      </c>
      <c r="F16" s="49">
        <v>6653.3989776820208</v>
      </c>
      <c r="G16" s="49">
        <v>1094.5775698508771</v>
      </c>
    </row>
    <row r="17" spans="2:7" x14ac:dyDescent="0.25">
      <c r="B17" s="34" t="s">
        <v>50</v>
      </c>
      <c r="C17" s="51"/>
      <c r="D17" s="34"/>
      <c r="E17" s="34"/>
      <c r="F17" s="51"/>
      <c r="G17" s="51"/>
    </row>
    <row r="18" spans="2:7" x14ac:dyDescent="0.25">
      <c r="B18" s="34"/>
      <c r="C18" s="34"/>
      <c r="D18" s="34"/>
      <c r="E18" s="34"/>
      <c r="F18" s="34"/>
      <c r="G18" s="34"/>
    </row>
    <row r="19" spans="2:7" x14ac:dyDescent="0.25">
      <c r="B19" s="40"/>
      <c r="C19" s="41" t="s">
        <v>37</v>
      </c>
      <c r="D19" s="41" t="s">
        <v>38</v>
      </c>
      <c r="E19" s="42" t="s">
        <v>39</v>
      </c>
      <c r="F19" s="42" t="s">
        <v>40</v>
      </c>
    </row>
    <row r="20" spans="2:7" x14ac:dyDescent="0.25">
      <c r="B20" s="43"/>
      <c r="C20" s="44" t="s">
        <v>43</v>
      </c>
      <c r="D20" s="44" t="s">
        <v>43</v>
      </c>
      <c r="E20" s="44" t="s">
        <v>44</v>
      </c>
      <c r="F20" s="44" t="s">
        <v>28</v>
      </c>
    </row>
    <row r="21" spans="2:7" x14ac:dyDescent="0.25">
      <c r="B21" s="34" t="s">
        <v>51</v>
      </c>
      <c r="C21" s="128"/>
      <c r="D21" s="128"/>
      <c r="E21" s="47" t="s">
        <v>44</v>
      </c>
      <c r="F21" s="154">
        <f>C21*(C4+1)+C8*D21*SQRT(C4+1)</f>
        <v>0</v>
      </c>
      <c r="G21" s="46"/>
    </row>
  </sheetData>
  <pageMargins left="0.7" right="0.7" top="0.78740157499999996" bottom="0.78740157499999996" header="0.3" footer="0.3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B0C7-F863-4F0B-A267-FB3614FAC37B}">
  <sheetPr>
    <tabColor theme="4" tint="0.79998168889431442"/>
  </sheetPr>
  <dimension ref="A1:V1034"/>
  <sheetViews>
    <sheetView zoomScaleNormal="100"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0.85546875" defaultRowHeight="15" x14ac:dyDescent="0.25"/>
  <cols>
    <col min="1" max="1" width="3.7109375" style="144" customWidth="1"/>
    <col min="2" max="2" width="14.28515625" style="3" customWidth="1"/>
    <col min="3" max="3" width="10.85546875" style="3"/>
    <col min="4" max="4" width="10.7109375" style="3" customWidth="1"/>
    <col min="5" max="6" width="9.42578125" style="3" customWidth="1"/>
    <col min="7" max="7" width="11.28515625" style="3" customWidth="1"/>
    <col min="8" max="12" width="9.42578125" style="3" customWidth="1"/>
    <col min="13" max="13" width="10.85546875" style="3" customWidth="1"/>
    <col min="14" max="15" width="9.42578125" style="3" customWidth="1"/>
    <col min="16" max="16" width="12.42578125" style="3" customWidth="1"/>
    <col min="17" max="18" width="10.85546875" style="3"/>
    <col min="19" max="19" width="4.42578125" style="3" customWidth="1"/>
    <col min="20" max="20" width="10.85546875" style="3"/>
    <col min="21" max="21" width="15.7109375" style="3" customWidth="1"/>
    <col min="22" max="16384" width="10.85546875" style="3"/>
  </cols>
  <sheetData>
    <row r="1" spans="2:22" s="144" customFormat="1" x14ac:dyDescent="0.25"/>
    <row r="2" spans="2:22" ht="23.25" x14ac:dyDescent="0.25">
      <c r="B2" s="33" t="s">
        <v>126</v>
      </c>
    </row>
    <row r="3" spans="2:22" ht="15" customHeight="1" x14ac:dyDescent="0.25">
      <c r="D3" s="33"/>
    </row>
    <row r="4" spans="2:22" x14ac:dyDescent="0.25">
      <c r="C4" s="55"/>
      <c r="D4" s="57"/>
      <c r="E4" s="58" t="s">
        <v>53</v>
      </c>
      <c r="F4" s="58"/>
      <c r="G4" s="57"/>
      <c r="H4" s="58" t="s">
        <v>9</v>
      </c>
      <c r="I4" s="58"/>
      <c r="J4" s="57"/>
      <c r="K4" s="58" t="s">
        <v>57</v>
      </c>
      <c r="L4" s="58"/>
      <c r="M4" s="57"/>
      <c r="N4" s="58" t="s">
        <v>56</v>
      </c>
      <c r="O4" s="58"/>
      <c r="P4" s="57"/>
      <c r="Q4" s="58" t="s">
        <v>58</v>
      </c>
      <c r="R4" s="56"/>
      <c r="S4" s="31"/>
    </row>
    <row r="5" spans="2:22" ht="33.950000000000003" customHeight="1" x14ac:dyDescent="0.25">
      <c r="C5" s="59" t="s">
        <v>59</v>
      </c>
      <c r="D5" s="73" t="s">
        <v>60</v>
      </c>
      <c r="E5" s="62" t="s">
        <v>80</v>
      </c>
      <c r="F5" s="63" t="s">
        <v>61</v>
      </c>
      <c r="G5" s="60" t="s">
        <v>54</v>
      </c>
      <c r="H5" s="63" t="s">
        <v>62</v>
      </c>
      <c r="I5" s="63" t="s">
        <v>63</v>
      </c>
      <c r="J5" s="73" t="s">
        <v>79</v>
      </c>
      <c r="K5" s="63" t="s">
        <v>55</v>
      </c>
      <c r="L5" s="63" t="s">
        <v>64</v>
      </c>
      <c r="M5" s="60" t="s">
        <v>65</v>
      </c>
      <c r="N5" s="63" t="s">
        <v>27</v>
      </c>
      <c r="O5" s="62" t="s">
        <v>66</v>
      </c>
      <c r="P5" s="60" t="s">
        <v>67</v>
      </c>
      <c r="Q5" s="63" t="s">
        <v>63</v>
      </c>
      <c r="R5" s="61" t="s">
        <v>68</v>
      </c>
      <c r="S5" s="31"/>
    </row>
    <row r="6" spans="2:22" x14ac:dyDescent="0.25">
      <c r="C6" s="64">
        <v>1</v>
      </c>
      <c r="D6" s="65">
        <v>10</v>
      </c>
      <c r="E6" s="67">
        <v>0</v>
      </c>
      <c r="F6" s="67">
        <f>D6+E6</f>
        <v>10</v>
      </c>
      <c r="G6" s="65">
        <f t="shared" ref="G6:G30" ca="1" si="0">LOOKUP(RAND(),$V$7:$V$12,$T$7:$T$12)</f>
        <v>3</v>
      </c>
      <c r="H6" s="67">
        <f ca="1">MIN(F6,G6)</f>
        <v>3</v>
      </c>
      <c r="I6" s="67">
        <f ca="1">G6-H6</f>
        <v>0</v>
      </c>
      <c r="J6" s="65">
        <f ca="1">F6-H6</f>
        <v>7</v>
      </c>
      <c r="K6" s="67">
        <v>0</v>
      </c>
      <c r="L6" s="67">
        <f ca="1">J6+K6</f>
        <v>7</v>
      </c>
      <c r="M6" s="65">
        <f t="shared" ref="M6:M30" ca="1" si="1">IF(L6&lt;=$V$15,1,0)</f>
        <v>1</v>
      </c>
      <c r="N6" s="67">
        <f t="shared" ref="N6:N30" ca="1" si="2">IF(M6=1,RANDBETWEEN($V$17,$V$18),0)</f>
        <v>1</v>
      </c>
      <c r="O6" s="67">
        <f ca="1">IF(M6=1,C6+N6+1,0)</f>
        <v>3</v>
      </c>
      <c r="P6" s="74">
        <f t="shared" ref="P6:P30" ca="1" si="3">J6*$V$20</f>
        <v>1.75</v>
      </c>
      <c r="Q6" s="75">
        <f t="shared" ref="Q6:Q30" ca="1" si="4">I6*$V$23</f>
        <v>0</v>
      </c>
      <c r="R6" s="76">
        <f t="shared" ref="R6:R30" ca="1" si="5">IF(M6=1,$V$26,0)</f>
        <v>15</v>
      </c>
      <c r="S6" s="31"/>
      <c r="T6" s="77" t="s">
        <v>9</v>
      </c>
      <c r="U6" s="78" t="s">
        <v>23</v>
      </c>
      <c r="V6" s="69" t="s">
        <v>69</v>
      </c>
    </row>
    <row r="7" spans="2:22" x14ac:dyDescent="0.25">
      <c r="C7" s="64">
        <v>2</v>
      </c>
      <c r="D7" s="65">
        <f ca="1">J6</f>
        <v>7</v>
      </c>
      <c r="E7" s="67">
        <f ca="1">COUNTIF($O$6:O6,C7)*$V$14</f>
        <v>0</v>
      </c>
      <c r="F7" s="67">
        <f ca="1">D7+E7</f>
        <v>7</v>
      </c>
      <c r="G7" s="65">
        <f t="shared" ca="1" si="0"/>
        <v>3</v>
      </c>
      <c r="H7" s="67">
        <f ca="1">MIN(F7,G7)</f>
        <v>3</v>
      </c>
      <c r="I7" s="67">
        <f ca="1">G7-H7</f>
        <v>0</v>
      </c>
      <c r="J7" s="65">
        <f ca="1">F7-H7</f>
        <v>4</v>
      </c>
      <c r="K7" s="67">
        <f ca="1">COUNTIF($O$6:O6,"&gt;"&amp;C7)*$V$14</f>
        <v>30</v>
      </c>
      <c r="L7" s="67">
        <f ca="1">J7+K7</f>
        <v>34</v>
      </c>
      <c r="M7" s="65">
        <f t="shared" ca="1" si="1"/>
        <v>0</v>
      </c>
      <c r="N7" s="67">
        <f t="shared" ca="1" si="2"/>
        <v>0</v>
      </c>
      <c r="O7" s="67">
        <f ca="1">IF(M7=1,C7+N7+1,0)</f>
        <v>0</v>
      </c>
      <c r="P7" s="74">
        <f t="shared" ca="1" si="3"/>
        <v>1</v>
      </c>
      <c r="Q7" s="75">
        <f t="shared" ca="1" si="4"/>
        <v>0</v>
      </c>
      <c r="R7" s="76">
        <f t="shared" ca="1" si="5"/>
        <v>0</v>
      </c>
      <c r="S7" s="31"/>
      <c r="T7" s="65">
        <v>0</v>
      </c>
      <c r="U7" s="67">
        <v>0.05</v>
      </c>
      <c r="V7" s="79">
        <v>0</v>
      </c>
    </row>
    <row r="8" spans="2:22" x14ac:dyDescent="0.25">
      <c r="C8" s="64">
        <v>3</v>
      </c>
      <c r="D8" s="65">
        <f t="shared" ref="D8:D30" ca="1" si="6">J7</f>
        <v>4</v>
      </c>
      <c r="E8" s="67">
        <f ca="1">COUNTIF($O$6:O7,C8)*$V$14</f>
        <v>30</v>
      </c>
      <c r="F8" s="67">
        <f t="shared" ref="F8:F30" ca="1" si="7">D8+E8</f>
        <v>34</v>
      </c>
      <c r="G8" s="65">
        <f t="shared" ca="1" si="0"/>
        <v>3</v>
      </c>
      <c r="H8" s="67">
        <f t="shared" ref="H8:H30" ca="1" si="8">MIN(F8,G8)</f>
        <v>3</v>
      </c>
      <c r="I8" s="67">
        <f t="shared" ref="I8:I30" ca="1" si="9">G8-H8</f>
        <v>0</v>
      </c>
      <c r="J8" s="65">
        <f t="shared" ref="J8:J30" ca="1" si="10">F8-H8</f>
        <v>31</v>
      </c>
      <c r="K8" s="67">
        <f ca="1">COUNTIF($O$6:O7,"&gt;"&amp;C8)*$V$14</f>
        <v>0</v>
      </c>
      <c r="L8" s="67">
        <f t="shared" ref="L8:L30" ca="1" si="11">J8+K8</f>
        <v>31</v>
      </c>
      <c r="M8" s="65">
        <f t="shared" ca="1" si="1"/>
        <v>0</v>
      </c>
      <c r="N8" s="67">
        <f t="shared" ca="1" si="2"/>
        <v>0</v>
      </c>
      <c r="O8" s="67">
        <f t="shared" ref="O8:O30" ca="1" si="12">IF(M8=1,C8+N8+1,0)</f>
        <v>0</v>
      </c>
      <c r="P8" s="74">
        <f t="shared" ca="1" si="3"/>
        <v>7.75</v>
      </c>
      <c r="Q8" s="75">
        <f t="shared" ca="1" si="4"/>
        <v>0</v>
      </c>
      <c r="R8" s="76">
        <f t="shared" ca="1" si="5"/>
        <v>0</v>
      </c>
      <c r="S8" s="31"/>
      <c r="T8" s="65">
        <v>1</v>
      </c>
      <c r="U8" s="67">
        <v>0.15</v>
      </c>
      <c r="V8" s="79">
        <f>U7</f>
        <v>0.05</v>
      </c>
    </row>
    <row r="9" spans="2:22" x14ac:dyDescent="0.25">
      <c r="C9" s="64">
        <v>4</v>
      </c>
      <c r="D9" s="65">
        <f t="shared" ca="1" si="6"/>
        <v>31</v>
      </c>
      <c r="E9" s="67">
        <f ca="1">COUNTIF($O$6:O8,C9)*$V$14</f>
        <v>0</v>
      </c>
      <c r="F9" s="67">
        <f t="shared" ca="1" si="7"/>
        <v>31</v>
      </c>
      <c r="G9" s="65">
        <f t="shared" ca="1" si="0"/>
        <v>1</v>
      </c>
      <c r="H9" s="67">
        <f t="shared" ca="1" si="8"/>
        <v>1</v>
      </c>
      <c r="I9" s="67">
        <f t="shared" ca="1" si="9"/>
        <v>0</v>
      </c>
      <c r="J9" s="65">
        <f t="shared" ca="1" si="10"/>
        <v>30</v>
      </c>
      <c r="K9" s="67">
        <f ca="1">COUNTIF($O$6:O8,"&gt;"&amp;C9)*$V$14</f>
        <v>0</v>
      </c>
      <c r="L9" s="67">
        <f t="shared" ca="1" si="11"/>
        <v>30</v>
      </c>
      <c r="M9" s="65">
        <f t="shared" ca="1" si="1"/>
        <v>0</v>
      </c>
      <c r="N9" s="67">
        <f t="shared" ca="1" si="2"/>
        <v>0</v>
      </c>
      <c r="O9" s="67">
        <f t="shared" ca="1" si="12"/>
        <v>0</v>
      </c>
      <c r="P9" s="74">
        <f t="shared" ca="1" si="3"/>
        <v>7.5</v>
      </c>
      <c r="Q9" s="75">
        <f t="shared" ca="1" si="4"/>
        <v>0</v>
      </c>
      <c r="R9" s="76">
        <f t="shared" ca="1" si="5"/>
        <v>0</v>
      </c>
      <c r="S9" s="31"/>
      <c r="T9" s="65">
        <v>2</v>
      </c>
      <c r="U9" s="67">
        <v>0.15</v>
      </c>
      <c r="V9" s="79">
        <f>U8+V8</f>
        <v>0.2</v>
      </c>
    </row>
    <row r="10" spans="2:22" x14ac:dyDescent="0.25">
      <c r="C10" s="64">
        <v>5</v>
      </c>
      <c r="D10" s="65">
        <f t="shared" ca="1" si="6"/>
        <v>30</v>
      </c>
      <c r="E10" s="67">
        <f ca="1">COUNTIF($O$6:O9,C10)*$V$14</f>
        <v>0</v>
      </c>
      <c r="F10" s="67">
        <f t="shared" ca="1" si="7"/>
        <v>30</v>
      </c>
      <c r="G10" s="65">
        <f t="shared" ca="1" si="0"/>
        <v>5</v>
      </c>
      <c r="H10" s="67">
        <f t="shared" ca="1" si="8"/>
        <v>5</v>
      </c>
      <c r="I10" s="67">
        <f t="shared" ca="1" si="9"/>
        <v>0</v>
      </c>
      <c r="J10" s="65">
        <f t="shared" ca="1" si="10"/>
        <v>25</v>
      </c>
      <c r="K10" s="67">
        <f ca="1">COUNTIF($O$6:O9,"&gt;"&amp;C10)*$V$14</f>
        <v>0</v>
      </c>
      <c r="L10" s="67">
        <f t="shared" ca="1" si="11"/>
        <v>25</v>
      </c>
      <c r="M10" s="65">
        <f t="shared" ca="1" si="1"/>
        <v>0</v>
      </c>
      <c r="N10" s="67">
        <f t="shared" ca="1" si="2"/>
        <v>0</v>
      </c>
      <c r="O10" s="67">
        <f t="shared" ca="1" si="12"/>
        <v>0</v>
      </c>
      <c r="P10" s="74">
        <f t="shared" ca="1" si="3"/>
        <v>6.25</v>
      </c>
      <c r="Q10" s="75">
        <f t="shared" ca="1" si="4"/>
        <v>0</v>
      </c>
      <c r="R10" s="76">
        <f t="shared" ca="1" si="5"/>
        <v>0</v>
      </c>
      <c r="S10" s="31"/>
      <c r="T10" s="65">
        <v>3</v>
      </c>
      <c r="U10" s="68">
        <v>0.3</v>
      </c>
      <c r="V10" s="79">
        <f>U9+V9</f>
        <v>0.35</v>
      </c>
    </row>
    <row r="11" spans="2:22" x14ac:dyDescent="0.25">
      <c r="C11" s="64">
        <v>6</v>
      </c>
      <c r="D11" s="65">
        <f t="shared" ca="1" si="6"/>
        <v>25</v>
      </c>
      <c r="E11" s="67">
        <f ca="1">COUNTIF($O$6:O10,C11)*$V$14</f>
        <v>0</v>
      </c>
      <c r="F11" s="67">
        <f t="shared" ca="1" si="7"/>
        <v>25</v>
      </c>
      <c r="G11" s="65">
        <f t="shared" ca="1" si="0"/>
        <v>1</v>
      </c>
      <c r="H11" s="67">
        <f t="shared" ca="1" si="8"/>
        <v>1</v>
      </c>
      <c r="I11" s="67">
        <f t="shared" ca="1" si="9"/>
        <v>0</v>
      </c>
      <c r="J11" s="65">
        <f t="shared" ca="1" si="10"/>
        <v>24</v>
      </c>
      <c r="K11" s="67">
        <f ca="1">COUNTIF($O$6:O10,"&gt;"&amp;C11)*$V$14</f>
        <v>0</v>
      </c>
      <c r="L11" s="67">
        <f t="shared" ca="1" si="11"/>
        <v>24</v>
      </c>
      <c r="M11" s="65">
        <f t="shared" ca="1" si="1"/>
        <v>0</v>
      </c>
      <c r="N11" s="67">
        <f t="shared" ca="1" si="2"/>
        <v>0</v>
      </c>
      <c r="O11" s="67">
        <f t="shared" ca="1" si="12"/>
        <v>0</v>
      </c>
      <c r="P11" s="74">
        <f t="shared" ca="1" si="3"/>
        <v>6</v>
      </c>
      <c r="Q11" s="75">
        <f t="shared" ca="1" si="4"/>
        <v>0</v>
      </c>
      <c r="R11" s="76">
        <f t="shared" ca="1" si="5"/>
        <v>0</v>
      </c>
      <c r="S11" s="31"/>
      <c r="T11" s="65">
        <v>4</v>
      </c>
      <c r="U11" s="67">
        <v>0.25</v>
      </c>
      <c r="V11" s="79">
        <f>U10+V10</f>
        <v>0.64999999999999991</v>
      </c>
    </row>
    <row r="12" spans="2:22" x14ac:dyDescent="0.25">
      <c r="C12" s="64">
        <v>7</v>
      </c>
      <c r="D12" s="65">
        <f t="shared" ca="1" si="6"/>
        <v>24</v>
      </c>
      <c r="E12" s="67">
        <f ca="1">COUNTIF($O$6:O11,C12)*$V$14</f>
        <v>0</v>
      </c>
      <c r="F12" s="67">
        <f t="shared" ca="1" si="7"/>
        <v>24</v>
      </c>
      <c r="G12" s="65">
        <f t="shared" ca="1" si="0"/>
        <v>3</v>
      </c>
      <c r="H12" s="67">
        <f t="shared" ca="1" si="8"/>
        <v>3</v>
      </c>
      <c r="I12" s="67">
        <f t="shared" ca="1" si="9"/>
        <v>0</v>
      </c>
      <c r="J12" s="65">
        <f t="shared" ca="1" si="10"/>
        <v>21</v>
      </c>
      <c r="K12" s="67">
        <f ca="1">COUNTIF($O$6:O11,"&gt;"&amp;C12)*$V$14</f>
        <v>0</v>
      </c>
      <c r="L12" s="67">
        <f t="shared" ca="1" si="11"/>
        <v>21</v>
      </c>
      <c r="M12" s="65">
        <f t="shared" ca="1" si="1"/>
        <v>0</v>
      </c>
      <c r="N12" s="67">
        <f t="shared" ca="1" si="2"/>
        <v>0</v>
      </c>
      <c r="O12" s="67">
        <f t="shared" ca="1" si="12"/>
        <v>0</v>
      </c>
      <c r="P12" s="74">
        <f t="shared" ca="1" si="3"/>
        <v>5.25</v>
      </c>
      <c r="Q12" s="75">
        <f t="shared" ca="1" si="4"/>
        <v>0</v>
      </c>
      <c r="R12" s="76">
        <f t="shared" ca="1" si="5"/>
        <v>0</v>
      </c>
      <c r="S12" s="31"/>
      <c r="T12" s="60">
        <v>5</v>
      </c>
      <c r="U12" s="80">
        <v>0.1</v>
      </c>
      <c r="V12" s="81">
        <f>U11+V11</f>
        <v>0.89999999999999991</v>
      </c>
    </row>
    <row r="13" spans="2:22" x14ac:dyDescent="0.25">
      <c r="C13" s="64">
        <v>8</v>
      </c>
      <c r="D13" s="65">
        <f t="shared" ca="1" si="6"/>
        <v>21</v>
      </c>
      <c r="E13" s="67">
        <f ca="1">COUNTIF($O$6:O12,C13)*$V$14</f>
        <v>0</v>
      </c>
      <c r="F13" s="67">
        <f t="shared" ca="1" si="7"/>
        <v>21</v>
      </c>
      <c r="G13" s="65">
        <f t="shared" ca="1" si="0"/>
        <v>2</v>
      </c>
      <c r="H13" s="67">
        <f t="shared" ca="1" si="8"/>
        <v>2</v>
      </c>
      <c r="I13" s="67">
        <f t="shared" ca="1" si="9"/>
        <v>0</v>
      </c>
      <c r="J13" s="65">
        <f t="shared" ca="1" si="10"/>
        <v>19</v>
      </c>
      <c r="K13" s="67">
        <f ca="1">COUNTIF($O$6:O12,"&gt;"&amp;C13)*$V$14</f>
        <v>0</v>
      </c>
      <c r="L13" s="67">
        <f t="shared" ca="1" si="11"/>
        <v>19</v>
      </c>
      <c r="M13" s="65">
        <f t="shared" ca="1" si="1"/>
        <v>0</v>
      </c>
      <c r="N13" s="67">
        <f t="shared" ca="1" si="2"/>
        <v>0</v>
      </c>
      <c r="O13" s="67">
        <f t="shared" ca="1" si="12"/>
        <v>0</v>
      </c>
      <c r="P13" s="74">
        <f t="shared" ca="1" si="3"/>
        <v>4.75</v>
      </c>
      <c r="Q13" s="75">
        <f t="shared" ca="1" si="4"/>
        <v>0</v>
      </c>
      <c r="R13" s="76">
        <f t="shared" ca="1" si="5"/>
        <v>0</v>
      </c>
      <c r="S13" s="31"/>
    </row>
    <row r="14" spans="2:22" x14ac:dyDescent="0.25">
      <c r="C14" s="64">
        <v>9</v>
      </c>
      <c r="D14" s="65">
        <f t="shared" ca="1" si="6"/>
        <v>19</v>
      </c>
      <c r="E14" s="67">
        <f ca="1">COUNTIF($O$6:O13,C14)*$V$14</f>
        <v>0</v>
      </c>
      <c r="F14" s="67">
        <f t="shared" ca="1" si="7"/>
        <v>19</v>
      </c>
      <c r="G14" s="65">
        <f t="shared" ca="1" si="0"/>
        <v>4</v>
      </c>
      <c r="H14" s="67">
        <f t="shared" ca="1" si="8"/>
        <v>4</v>
      </c>
      <c r="I14" s="67">
        <f t="shared" ca="1" si="9"/>
        <v>0</v>
      </c>
      <c r="J14" s="65">
        <f t="shared" ca="1" si="10"/>
        <v>15</v>
      </c>
      <c r="K14" s="67">
        <f ca="1">COUNTIF($O$6:O13,"&gt;"&amp;C14)*$V$14</f>
        <v>0</v>
      </c>
      <c r="L14" s="67">
        <f t="shared" ca="1" si="11"/>
        <v>15</v>
      </c>
      <c r="M14" s="65">
        <f t="shared" ca="1" si="1"/>
        <v>1</v>
      </c>
      <c r="N14" s="67">
        <f t="shared" ca="1" si="2"/>
        <v>4</v>
      </c>
      <c r="O14" s="67">
        <f t="shared" ca="1" si="12"/>
        <v>14</v>
      </c>
      <c r="P14" s="74">
        <f t="shared" ca="1" si="3"/>
        <v>3.75</v>
      </c>
      <c r="Q14" s="75">
        <f t="shared" ca="1" si="4"/>
        <v>0</v>
      </c>
      <c r="R14" s="76">
        <f t="shared" ca="1" si="5"/>
        <v>15</v>
      </c>
      <c r="S14" s="31"/>
      <c r="T14" s="53" t="s">
        <v>70</v>
      </c>
      <c r="U14" s="24"/>
      <c r="V14" s="54">
        <v>30</v>
      </c>
    </row>
    <row r="15" spans="2:22" x14ac:dyDescent="0.25">
      <c r="C15" s="64">
        <v>10</v>
      </c>
      <c r="D15" s="65">
        <f t="shared" ca="1" si="6"/>
        <v>15</v>
      </c>
      <c r="E15" s="67">
        <f ca="1">COUNTIF($O$6:O14,C15)*$V$14</f>
        <v>0</v>
      </c>
      <c r="F15" s="67">
        <f t="shared" ca="1" si="7"/>
        <v>15</v>
      </c>
      <c r="G15" s="65">
        <f t="shared" ca="1" si="0"/>
        <v>3</v>
      </c>
      <c r="H15" s="67">
        <f t="shared" ca="1" si="8"/>
        <v>3</v>
      </c>
      <c r="I15" s="67">
        <f t="shared" ca="1" si="9"/>
        <v>0</v>
      </c>
      <c r="J15" s="65">
        <f t="shared" ca="1" si="10"/>
        <v>12</v>
      </c>
      <c r="K15" s="67">
        <f ca="1">COUNTIF($O$6:O14,"&gt;"&amp;C15)*$V$14</f>
        <v>30</v>
      </c>
      <c r="L15" s="67">
        <f t="shared" ca="1" si="11"/>
        <v>42</v>
      </c>
      <c r="M15" s="65">
        <f t="shared" ca="1" si="1"/>
        <v>0</v>
      </c>
      <c r="N15" s="67">
        <f t="shared" ca="1" si="2"/>
        <v>0</v>
      </c>
      <c r="O15" s="67">
        <f t="shared" ca="1" si="12"/>
        <v>0</v>
      </c>
      <c r="P15" s="74">
        <f t="shared" ca="1" si="3"/>
        <v>3</v>
      </c>
      <c r="Q15" s="75">
        <f t="shared" ca="1" si="4"/>
        <v>0</v>
      </c>
      <c r="R15" s="76">
        <f t="shared" ca="1" si="5"/>
        <v>0</v>
      </c>
      <c r="S15" s="31"/>
      <c r="T15" s="32" t="s">
        <v>71</v>
      </c>
      <c r="U15" s="25"/>
      <c r="V15" s="72">
        <v>15</v>
      </c>
    </row>
    <row r="16" spans="2:22" x14ac:dyDescent="0.25">
      <c r="C16" s="64">
        <v>11</v>
      </c>
      <c r="D16" s="65">
        <f t="shared" ref="D16:D23" ca="1" si="13">J15</f>
        <v>12</v>
      </c>
      <c r="E16" s="67">
        <f ca="1">COUNTIF($O$6:O15,C16)*$V$14</f>
        <v>0</v>
      </c>
      <c r="F16" s="67">
        <f t="shared" ref="F16:F23" ca="1" si="14">D16+E16</f>
        <v>12</v>
      </c>
      <c r="G16" s="65">
        <f t="shared" ca="1" si="0"/>
        <v>1</v>
      </c>
      <c r="H16" s="67">
        <f t="shared" ref="H16:H23" ca="1" si="15">MIN(F16,G16)</f>
        <v>1</v>
      </c>
      <c r="I16" s="67">
        <f t="shared" ref="I16:I23" ca="1" si="16">G16-H16</f>
        <v>0</v>
      </c>
      <c r="J16" s="65">
        <f t="shared" ref="J16:J23" ca="1" si="17">F16-H16</f>
        <v>11</v>
      </c>
      <c r="K16" s="67">
        <f ca="1">COUNTIF($O$6:O15,"&gt;"&amp;C16)*$V$14</f>
        <v>30</v>
      </c>
      <c r="L16" s="67">
        <f t="shared" ref="L16:L23" ca="1" si="18">J16+K16</f>
        <v>41</v>
      </c>
      <c r="M16" s="65">
        <f t="shared" ca="1" si="1"/>
        <v>0</v>
      </c>
      <c r="N16" s="67">
        <f t="shared" ca="1" si="2"/>
        <v>0</v>
      </c>
      <c r="O16" s="67">
        <f t="shared" ref="O16:O23" ca="1" si="19">IF(M16=1,C16+N16+1,0)</f>
        <v>0</v>
      </c>
      <c r="P16" s="74">
        <f t="shared" ca="1" si="3"/>
        <v>2.75</v>
      </c>
      <c r="Q16" s="75">
        <f t="shared" ca="1" si="4"/>
        <v>0</v>
      </c>
      <c r="R16" s="76">
        <f t="shared" ca="1" si="5"/>
        <v>0</v>
      </c>
      <c r="S16" s="31"/>
    </row>
    <row r="17" spans="2:22" ht="14.25" customHeight="1" x14ac:dyDescent="0.25">
      <c r="B17" s="196" t="s">
        <v>129</v>
      </c>
      <c r="C17" s="156">
        <v>12</v>
      </c>
      <c r="D17" s="157">
        <f t="shared" ca="1" si="13"/>
        <v>11</v>
      </c>
      <c r="E17" s="158">
        <f ca="1">COUNTIF($O$6:O16,C17)*$V$14</f>
        <v>0</v>
      </c>
      <c r="F17" s="158">
        <f t="shared" ca="1" si="14"/>
        <v>11</v>
      </c>
      <c r="G17" s="157">
        <f t="shared" ca="1" si="0"/>
        <v>1</v>
      </c>
      <c r="H17" s="158">
        <f t="shared" ca="1" si="15"/>
        <v>1</v>
      </c>
      <c r="I17" s="158">
        <f t="shared" ca="1" si="16"/>
        <v>0</v>
      </c>
      <c r="J17" s="157">
        <f t="shared" ca="1" si="17"/>
        <v>10</v>
      </c>
      <c r="K17" s="158">
        <f ca="1">COUNTIF($O$6:O16,"&gt;"&amp;C17)*$V$14</f>
        <v>30</v>
      </c>
      <c r="L17" s="158">
        <f t="shared" ca="1" si="18"/>
        <v>40</v>
      </c>
      <c r="M17" s="157">
        <f t="shared" ca="1" si="1"/>
        <v>0</v>
      </c>
      <c r="N17" s="176">
        <f t="shared" ca="1" si="2"/>
        <v>0</v>
      </c>
      <c r="O17" s="158">
        <f t="shared" ca="1" si="19"/>
        <v>0</v>
      </c>
      <c r="P17" s="159">
        <f t="shared" ca="1" si="3"/>
        <v>2.5</v>
      </c>
      <c r="Q17" s="160">
        <f t="shared" ca="1" si="4"/>
        <v>0</v>
      </c>
      <c r="R17" s="178">
        <f t="shared" ca="1" si="5"/>
        <v>0</v>
      </c>
      <c r="S17" s="31"/>
      <c r="T17" s="53" t="s">
        <v>135</v>
      </c>
      <c r="U17" s="24"/>
      <c r="V17" s="54">
        <v>1</v>
      </c>
    </row>
    <row r="18" spans="2:22" x14ac:dyDescent="0.25">
      <c r="B18" s="196"/>
      <c r="C18" s="156">
        <v>13</v>
      </c>
      <c r="D18" s="157">
        <f t="shared" ca="1" si="13"/>
        <v>10</v>
      </c>
      <c r="E18" s="158">
        <f ca="1">COUNTIF($O$6:O17,C18)*$V$14</f>
        <v>0</v>
      </c>
      <c r="F18" s="158">
        <f t="shared" ca="1" si="14"/>
        <v>10</v>
      </c>
      <c r="G18" s="157">
        <f t="shared" ca="1" si="0"/>
        <v>4</v>
      </c>
      <c r="H18" s="158">
        <f t="shared" ca="1" si="15"/>
        <v>4</v>
      </c>
      <c r="I18" s="158">
        <f t="shared" ca="1" si="16"/>
        <v>0</v>
      </c>
      <c r="J18" s="157">
        <f t="shared" ca="1" si="17"/>
        <v>6</v>
      </c>
      <c r="K18" s="158">
        <f ca="1">COUNTIF($O$6:O17,"&gt;"&amp;C18)*$V$14</f>
        <v>30</v>
      </c>
      <c r="L18" s="158">
        <f t="shared" ca="1" si="18"/>
        <v>36</v>
      </c>
      <c r="M18" s="157">
        <f t="shared" ca="1" si="1"/>
        <v>0</v>
      </c>
      <c r="N18" s="176">
        <f t="shared" ca="1" si="2"/>
        <v>0</v>
      </c>
      <c r="O18" s="158">
        <f t="shared" ca="1" si="19"/>
        <v>0</v>
      </c>
      <c r="P18" s="159">
        <f t="shared" ca="1" si="3"/>
        <v>1.5</v>
      </c>
      <c r="Q18" s="160">
        <f t="shared" ca="1" si="4"/>
        <v>0</v>
      </c>
      <c r="R18" s="178">
        <f t="shared" ca="1" si="5"/>
        <v>0</v>
      </c>
      <c r="S18" s="31"/>
      <c r="T18" s="32" t="s">
        <v>136</v>
      </c>
      <c r="U18" s="25"/>
      <c r="V18" s="72">
        <v>4</v>
      </c>
    </row>
    <row r="19" spans="2:22" x14ac:dyDescent="0.25">
      <c r="B19" s="196"/>
      <c r="C19" s="156">
        <v>14</v>
      </c>
      <c r="D19" s="157">
        <f t="shared" ca="1" si="13"/>
        <v>6</v>
      </c>
      <c r="E19" s="158">
        <f ca="1">COUNTIF($O$6:O18,C19)*$V$14</f>
        <v>30</v>
      </c>
      <c r="F19" s="158">
        <f t="shared" ca="1" si="14"/>
        <v>36</v>
      </c>
      <c r="G19" s="157">
        <f t="shared" ca="1" si="0"/>
        <v>4</v>
      </c>
      <c r="H19" s="158">
        <f t="shared" ca="1" si="15"/>
        <v>4</v>
      </c>
      <c r="I19" s="158">
        <f t="shared" ca="1" si="16"/>
        <v>0</v>
      </c>
      <c r="J19" s="157">
        <f t="shared" ca="1" si="17"/>
        <v>32</v>
      </c>
      <c r="K19" s="158">
        <f ca="1">COUNTIF($O$6:O18,"&gt;"&amp;C19)*$V$14</f>
        <v>0</v>
      </c>
      <c r="L19" s="158">
        <f t="shared" ca="1" si="18"/>
        <v>32</v>
      </c>
      <c r="M19" s="157">
        <f t="shared" ca="1" si="1"/>
        <v>0</v>
      </c>
      <c r="N19" s="176">
        <f t="shared" ca="1" si="2"/>
        <v>0</v>
      </c>
      <c r="O19" s="158">
        <f t="shared" ca="1" si="19"/>
        <v>0</v>
      </c>
      <c r="P19" s="159">
        <f t="shared" ca="1" si="3"/>
        <v>8</v>
      </c>
      <c r="Q19" s="160">
        <f t="shared" ca="1" si="4"/>
        <v>0</v>
      </c>
      <c r="R19" s="178">
        <f t="shared" ca="1" si="5"/>
        <v>0</v>
      </c>
      <c r="S19" s="31"/>
    </row>
    <row r="20" spans="2:22" x14ac:dyDescent="0.25">
      <c r="B20" s="196"/>
      <c r="C20" s="156">
        <v>15</v>
      </c>
      <c r="D20" s="157">
        <f t="shared" ca="1" si="13"/>
        <v>32</v>
      </c>
      <c r="E20" s="158">
        <f ca="1">COUNTIF($O$6:O19,C20)*$V$14</f>
        <v>0</v>
      </c>
      <c r="F20" s="158">
        <f t="shared" ca="1" si="14"/>
        <v>32</v>
      </c>
      <c r="G20" s="157">
        <f t="shared" ca="1" si="0"/>
        <v>3</v>
      </c>
      <c r="H20" s="158">
        <f t="shared" ca="1" si="15"/>
        <v>3</v>
      </c>
      <c r="I20" s="158">
        <f t="shared" ca="1" si="16"/>
        <v>0</v>
      </c>
      <c r="J20" s="157">
        <f t="shared" ca="1" si="17"/>
        <v>29</v>
      </c>
      <c r="K20" s="158">
        <f ca="1">COUNTIF($O$6:O19,"&gt;"&amp;C20)*$V$14</f>
        <v>0</v>
      </c>
      <c r="L20" s="158">
        <f t="shared" ca="1" si="18"/>
        <v>29</v>
      </c>
      <c r="M20" s="157">
        <f t="shared" ca="1" si="1"/>
        <v>0</v>
      </c>
      <c r="N20" s="176">
        <f t="shared" ca="1" si="2"/>
        <v>0</v>
      </c>
      <c r="O20" s="158">
        <f t="shared" ca="1" si="19"/>
        <v>0</v>
      </c>
      <c r="P20" s="159">
        <f t="shared" ca="1" si="3"/>
        <v>7.25</v>
      </c>
      <c r="Q20" s="160">
        <f t="shared" ca="1" si="4"/>
        <v>0</v>
      </c>
      <c r="R20" s="178">
        <f t="shared" ca="1" si="5"/>
        <v>0</v>
      </c>
      <c r="S20" s="31"/>
      <c r="T20" s="53" t="s">
        <v>16</v>
      </c>
      <c r="U20" s="24"/>
      <c r="V20" s="82">
        <v>0.25</v>
      </c>
    </row>
    <row r="21" spans="2:22" x14ac:dyDescent="0.25">
      <c r="B21" s="196"/>
      <c r="C21" s="156">
        <v>16</v>
      </c>
      <c r="D21" s="157">
        <f t="shared" ca="1" si="13"/>
        <v>29</v>
      </c>
      <c r="E21" s="158">
        <f ca="1">COUNTIF($O$6:O20,C21)*$V$14</f>
        <v>0</v>
      </c>
      <c r="F21" s="158">
        <f t="shared" ca="1" si="14"/>
        <v>29</v>
      </c>
      <c r="G21" s="157">
        <f t="shared" ca="1" si="0"/>
        <v>3</v>
      </c>
      <c r="H21" s="158">
        <f t="shared" ca="1" si="15"/>
        <v>3</v>
      </c>
      <c r="I21" s="158">
        <f t="shared" ca="1" si="16"/>
        <v>0</v>
      </c>
      <c r="J21" s="157">
        <f t="shared" ca="1" si="17"/>
        <v>26</v>
      </c>
      <c r="K21" s="158">
        <f ca="1">COUNTIF($O$6:O20,"&gt;"&amp;C21)*$V$14</f>
        <v>0</v>
      </c>
      <c r="L21" s="158">
        <f t="shared" ca="1" si="18"/>
        <v>26</v>
      </c>
      <c r="M21" s="157">
        <f t="shared" ca="1" si="1"/>
        <v>0</v>
      </c>
      <c r="N21" s="176">
        <f ca="1">IF(M21=1,RANDBETWEEN($V$17,$V$18),0)</f>
        <v>0</v>
      </c>
      <c r="O21" s="158">
        <f t="shared" ca="1" si="19"/>
        <v>0</v>
      </c>
      <c r="P21" s="159">
        <f t="shared" ca="1" si="3"/>
        <v>6.5</v>
      </c>
      <c r="Q21" s="160">
        <f t="shared" ca="1" si="4"/>
        <v>0</v>
      </c>
      <c r="R21" s="178">
        <f t="shared" ca="1" si="5"/>
        <v>0</v>
      </c>
      <c r="S21" s="31"/>
      <c r="T21" s="32" t="s">
        <v>72</v>
      </c>
      <c r="U21" s="25"/>
      <c r="V21" s="72"/>
    </row>
    <row r="22" spans="2:22" x14ac:dyDescent="0.25">
      <c r="B22" s="196"/>
      <c r="C22" s="156">
        <v>17</v>
      </c>
      <c r="D22" s="157">
        <f t="shared" ca="1" si="13"/>
        <v>26</v>
      </c>
      <c r="E22" s="158">
        <f ca="1">COUNTIF($O$6:O21,C22)*$V$14</f>
        <v>0</v>
      </c>
      <c r="F22" s="158">
        <f t="shared" ca="1" si="14"/>
        <v>26</v>
      </c>
      <c r="G22" s="157">
        <f t="shared" ca="1" si="0"/>
        <v>4</v>
      </c>
      <c r="H22" s="158">
        <f t="shared" ca="1" si="15"/>
        <v>4</v>
      </c>
      <c r="I22" s="158">
        <f t="shared" ca="1" si="16"/>
        <v>0</v>
      </c>
      <c r="J22" s="157">
        <f t="shared" ca="1" si="17"/>
        <v>22</v>
      </c>
      <c r="K22" s="158">
        <f ca="1">COUNTIF($O$6:O21,"&gt;"&amp;C22)*$V$14</f>
        <v>0</v>
      </c>
      <c r="L22" s="158">
        <f t="shared" ca="1" si="18"/>
        <v>22</v>
      </c>
      <c r="M22" s="157">
        <f t="shared" ca="1" si="1"/>
        <v>0</v>
      </c>
      <c r="N22" s="176">
        <f t="shared" ca="1" si="2"/>
        <v>0</v>
      </c>
      <c r="O22" s="158">
        <f t="shared" ca="1" si="19"/>
        <v>0</v>
      </c>
      <c r="P22" s="159">
        <f t="shared" ca="1" si="3"/>
        <v>5.5</v>
      </c>
      <c r="Q22" s="160">
        <f t="shared" ca="1" si="4"/>
        <v>0</v>
      </c>
      <c r="R22" s="178">
        <f t="shared" ca="1" si="5"/>
        <v>0</v>
      </c>
      <c r="S22" s="31"/>
    </row>
    <row r="23" spans="2:22" x14ac:dyDescent="0.25">
      <c r="B23" s="196"/>
      <c r="C23" s="156">
        <v>18</v>
      </c>
      <c r="D23" s="157">
        <f t="shared" ca="1" si="13"/>
        <v>22</v>
      </c>
      <c r="E23" s="158">
        <f ca="1">COUNTIF($O$6:O22,C23)*$V$14</f>
        <v>0</v>
      </c>
      <c r="F23" s="158">
        <f t="shared" ca="1" si="14"/>
        <v>22</v>
      </c>
      <c r="G23" s="157">
        <f t="shared" ca="1" si="0"/>
        <v>3</v>
      </c>
      <c r="H23" s="158">
        <f t="shared" ca="1" si="15"/>
        <v>3</v>
      </c>
      <c r="I23" s="158">
        <f t="shared" ca="1" si="16"/>
        <v>0</v>
      </c>
      <c r="J23" s="157">
        <f t="shared" ca="1" si="17"/>
        <v>19</v>
      </c>
      <c r="K23" s="158">
        <f ca="1">COUNTIF($O$6:O22,"&gt;"&amp;C23)*$V$14</f>
        <v>0</v>
      </c>
      <c r="L23" s="158">
        <f t="shared" ca="1" si="18"/>
        <v>19</v>
      </c>
      <c r="M23" s="157">
        <f t="shared" ca="1" si="1"/>
        <v>0</v>
      </c>
      <c r="N23" s="176">
        <f t="shared" ca="1" si="2"/>
        <v>0</v>
      </c>
      <c r="O23" s="158">
        <f t="shared" ca="1" si="19"/>
        <v>0</v>
      </c>
      <c r="P23" s="159">
        <f t="shared" ca="1" si="3"/>
        <v>4.75</v>
      </c>
      <c r="Q23" s="160">
        <f t="shared" ca="1" si="4"/>
        <v>0</v>
      </c>
      <c r="R23" s="178">
        <f t="shared" ca="1" si="5"/>
        <v>0</v>
      </c>
      <c r="S23" s="31"/>
      <c r="T23" s="53" t="s">
        <v>73</v>
      </c>
      <c r="U23" s="24"/>
      <c r="V23" s="82">
        <v>8</v>
      </c>
    </row>
    <row r="24" spans="2:22" x14ac:dyDescent="0.25">
      <c r="B24" s="196"/>
      <c r="C24" s="156">
        <v>19</v>
      </c>
      <c r="D24" s="157">
        <f t="shared" ca="1" si="6"/>
        <v>19</v>
      </c>
      <c r="E24" s="158">
        <f ca="1">COUNTIF($O$6:O23,C24)*$V$14</f>
        <v>0</v>
      </c>
      <c r="F24" s="158">
        <f t="shared" ca="1" si="7"/>
        <v>19</v>
      </c>
      <c r="G24" s="157">
        <f t="shared" ca="1" si="0"/>
        <v>5</v>
      </c>
      <c r="H24" s="158">
        <f t="shared" ca="1" si="8"/>
        <v>5</v>
      </c>
      <c r="I24" s="158">
        <f t="shared" ca="1" si="9"/>
        <v>0</v>
      </c>
      <c r="J24" s="157">
        <f t="shared" ca="1" si="10"/>
        <v>14</v>
      </c>
      <c r="K24" s="158">
        <f ca="1">COUNTIF($O$6:O23,"&gt;"&amp;C24)*$V$14</f>
        <v>0</v>
      </c>
      <c r="L24" s="158">
        <f t="shared" ca="1" si="11"/>
        <v>14</v>
      </c>
      <c r="M24" s="157">
        <f t="shared" ca="1" si="1"/>
        <v>1</v>
      </c>
      <c r="N24" s="176">
        <f t="shared" ca="1" si="2"/>
        <v>3</v>
      </c>
      <c r="O24" s="158">
        <f t="shared" ca="1" si="12"/>
        <v>23</v>
      </c>
      <c r="P24" s="159">
        <f t="shared" ca="1" si="3"/>
        <v>3.5</v>
      </c>
      <c r="Q24" s="160">
        <f t="shared" ca="1" si="4"/>
        <v>0</v>
      </c>
      <c r="R24" s="178">
        <f t="shared" ca="1" si="5"/>
        <v>15</v>
      </c>
      <c r="S24" s="31"/>
      <c r="T24" s="32" t="s">
        <v>74</v>
      </c>
      <c r="U24" s="25"/>
      <c r="V24" s="72"/>
    </row>
    <row r="25" spans="2:22" x14ac:dyDescent="0.25">
      <c r="B25" s="196"/>
      <c r="C25" s="156">
        <v>20</v>
      </c>
      <c r="D25" s="157">
        <f t="shared" ca="1" si="6"/>
        <v>14</v>
      </c>
      <c r="E25" s="158">
        <f ca="1">COUNTIF($O$6:O24,C25)*$V$14</f>
        <v>0</v>
      </c>
      <c r="F25" s="158">
        <f t="shared" ca="1" si="7"/>
        <v>14</v>
      </c>
      <c r="G25" s="157">
        <f t="shared" ca="1" si="0"/>
        <v>3</v>
      </c>
      <c r="H25" s="158">
        <f t="shared" ca="1" si="8"/>
        <v>3</v>
      </c>
      <c r="I25" s="158">
        <f t="shared" ca="1" si="9"/>
        <v>0</v>
      </c>
      <c r="J25" s="157">
        <f t="shared" ca="1" si="10"/>
        <v>11</v>
      </c>
      <c r="K25" s="158">
        <f ca="1">COUNTIF($O$6:O24,"&gt;"&amp;C25)*$V$14</f>
        <v>30</v>
      </c>
      <c r="L25" s="158">
        <f t="shared" ca="1" si="11"/>
        <v>41</v>
      </c>
      <c r="M25" s="157">
        <f t="shared" ca="1" si="1"/>
        <v>0</v>
      </c>
      <c r="N25" s="176">
        <f t="shared" ca="1" si="2"/>
        <v>0</v>
      </c>
      <c r="O25" s="158">
        <f t="shared" ca="1" si="12"/>
        <v>0</v>
      </c>
      <c r="P25" s="159">
        <f t="shared" ca="1" si="3"/>
        <v>2.75</v>
      </c>
      <c r="Q25" s="160">
        <f t="shared" ca="1" si="4"/>
        <v>0</v>
      </c>
      <c r="R25" s="178">
        <f t="shared" ca="1" si="5"/>
        <v>0</v>
      </c>
      <c r="S25" s="31"/>
    </row>
    <row r="26" spans="2:22" x14ac:dyDescent="0.25">
      <c r="B26" s="196"/>
      <c r="C26" s="156">
        <v>21</v>
      </c>
      <c r="D26" s="157">
        <f t="shared" ca="1" si="6"/>
        <v>11</v>
      </c>
      <c r="E26" s="158">
        <f ca="1">COUNTIF($O$6:O25,C26)*$V$14</f>
        <v>0</v>
      </c>
      <c r="F26" s="158">
        <f t="shared" ca="1" si="7"/>
        <v>11</v>
      </c>
      <c r="G26" s="157">
        <f t="shared" ca="1" si="0"/>
        <v>0</v>
      </c>
      <c r="H26" s="158">
        <f t="shared" ca="1" si="8"/>
        <v>0</v>
      </c>
      <c r="I26" s="158">
        <f t="shared" ca="1" si="9"/>
        <v>0</v>
      </c>
      <c r="J26" s="157">
        <f t="shared" ca="1" si="10"/>
        <v>11</v>
      </c>
      <c r="K26" s="158">
        <f ca="1">COUNTIF($O$6:O25,"&gt;"&amp;C26)*$V$14</f>
        <v>30</v>
      </c>
      <c r="L26" s="158">
        <f t="shared" ca="1" si="11"/>
        <v>41</v>
      </c>
      <c r="M26" s="157">
        <f t="shared" ca="1" si="1"/>
        <v>0</v>
      </c>
      <c r="N26" s="176">
        <f t="shared" ca="1" si="2"/>
        <v>0</v>
      </c>
      <c r="O26" s="158">
        <f t="shared" ca="1" si="12"/>
        <v>0</v>
      </c>
      <c r="P26" s="159">
        <f t="shared" ca="1" si="3"/>
        <v>2.75</v>
      </c>
      <c r="Q26" s="160">
        <f t="shared" ca="1" si="4"/>
        <v>0</v>
      </c>
      <c r="R26" s="178">
        <f t="shared" ca="1" si="5"/>
        <v>0</v>
      </c>
      <c r="S26" s="31"/>
      <c r="T26" s="53" t="s">
        <v>15</v>
      </c>
      <c r="U26" s="24"/>
      <c r="V26" s="82">
        <v>15</v>
      </c>
    </row>
    <row r="27" spans="2:22" x14ac:dyDescent="0.25">
      <c r="B27" s="196"/>
      <c r="C27" s="156">
        <v>22</v>
      </c>
      <c r="D27" s="157">
        <f t="shared" ca="1" si="6"/>
        <v>11</v>
      </c>
      <c r="E27" s="158">
        <f ca="1">COUNTIF($O$6:O26,C27)*$V$14</f>
        <v>0</v>
      </c>
      <c r="F27" s="158">
        <f t="shared" ca="1" si="7"/>
        <v>11</v>
      </c>
      <c r="G27" s="157">
        <f t="shared" ca="1" si="0"/>
        <v>2</v>
      </c>
      <c r="H27" s="158">
        <f t="shared" ca="1" si="8"/>
        <v>2</v>
      </c>
      <c r="I27" s="158">
        <f t="shared" ca="1" si="9"/>
        <v>0</v>
      </c>
      <c r="J27" s="157">
        <f t="shared" ca="1" si="10"/>
        <v>9</v>
      </c>
      <c r="K27" s="158">
        <f ca="1">COUNTIF($O$6:O26,"&gt;"&amp;C27)*$V$14</f>
        <v>30</v>
      </c>
      <c r="L27" s="158">
        <f t="shared" ca="1" si="11"/>
        <v>39</v>
      </c>
      <c r="M27" s="157">
        <f t="shared" ca="1" si="1"/>
        <v>0</v>
      </c>
      <c r="N27" s="176">
        <f t="shared" ca="1" si="2"/>
        <v>0</v>
      </c>
      <c r="O27" s="158">
        <f t="shared" ca="1" si="12"/>
        <v>0</v>
      </c>
      <c r="P27" s="159">
        <f t="shared" ca="1" si="3"/>
        <v>2.25</v>
      </c>
      <c r="Q27" s="160">
        <f t="shared" ca="1" si="4"/>
        <v>0</v>
      </c>
      <c r="R27" s="178">
        <f t="shared" ca="1" si="5"/>
        <v>0</v>
      </c>
      <c r="S27" s="31"/>
      <c r="T27" s="32" t="s">
        <v>75</v>
      </c>
      <c r="U27" s="25"/>
      <c r="V27" s="72"/>
    </row>
    <row r="28" spans="2:22" x14ac:dyDescent="0.25">
      <c r="B28" s="196"/>
      <c r="C28" s="156">
        <v>23</v>
      </c>
      <c r="D28" s="157">
        <f t="shared" ca="1" si="6"/>
        <v>9</v>
      </c>
      <c r="E28" s="158">
        <f ca="1">COUNTIF($O$6:O27,C28)*$V$14</f>
        <v>30</v>
      </c>
      <c r="F28" s="158">
        <f t="shared" ca="1" si="7"/>
        <v>39</v>
      </c>
      <c r="G28" s="157">
        <f t="shared" ca="1" si="0"/>
        <v>1</v>
      </c>
      <c r="H28" s="158">
        <f t="shared" ca="1" si="8"/>
        <v>1</v>
      </c>
      <c r="I28" s="158">
        <f t="shared" ca="1" si="9"/>
        <v>0</v>
      </c>
      <c r="J28" s="157">
        <f t="shared" ca="1" si="10"/>
        <v>38</v>
      </c>
      <c r="K28" s="158">
        <f ca="1">COUNTIF($O$6:O27,"&gt;"&amp;C28)*$V$14</f>
        <v>0</v>
      </c>
      <c r="L28" s="158">
        <f t="shared" ca="1" si="11"/>
        <v>38</v>
      </c>
      <c r="M28" s="157">
        <f t="shared" ca="1" si="1"/>
        <v>0</v>
      </c>
      <c r="N28" s="176">
        <f t="shared" ca="1" si="2"/>
        <v>0</v>
      </c>
      <c r="O28" s="158">
        <f t="shared" ca="1" si="12"/>
        <v>0</v>
      </c>
      <c r="P28" s="159">
        <f t="shared" ca="1" si="3"/>
        <v>9.5</v>
      </c>
      <c r="Q28" s="160">
        <f t="shared" ca="1" si="4"/>
        <v>0</v>
      </c>
      <c r="R28" s="178">
        <f t="shared" ca="1" si="5"/>
        <v>0</v>
      </c>
      <c r="S28" s="31"/>
    </row>
    <row r="29" spans="2:22" x14ac:dyDescent="0.25">
      <c r="B29" s="196"/>
      <c r="C29" s="156">
        <v>24</v>
      </c>
      <c r="D29" s="157">
        <f t="shared" ca="1" si="6"/>
        <v>38</v>
      </c>
      <c r="E29" s="158">
        <f ca="1">COUNTIF($O$6:O28,C29)*$V$14</f>
        <v>0</v>
      </c>
      <c r="F29" s="158">
        <f t="shared" ca="1" si="7"/>
        <v>38</v>
      </c>
      <c r="G29" s="157">
        <f t="shared" ca="1" si="0"/>
        <v>3</v>
      </c>
      <c r="H29" s="158">
        <f t="shared" ca="1" si="8"/>
        <v>3</v>
      </c>
      <c r="I29" s="158">
        <f t="shared" ca="1" si="9"/>
        <v>0</v>
      </c>
      <c r="J29" s="157">
        <f t="shared" ca="1" si="10"/>
        <v>35</v>
      </c>
      <c r="K29" s="158">
        <f ca="1">COUNTIF($O$6:O28,"&gt;"&amp;C29)*$V$14</f>
        <v>0</v>
      </c>
      <c r="L29" s="158">
        <f t="shared" ca="1" si="11"/>
        <v>35</v>
      </c>
      <c r="M29" s="157">
        <f t="shared" ca="1" si="1"/>
        <v>0</v>
      </c>
      <c r="N29" s="176">
        <f t="shared" ca="1" si="2"/>
        <v>0</v>
      </c>
      <c r="O29" s="158">
        <f t="shared" ca="1" si="12"/>
        <v>0</v>
      </c>
      <c r="P29" s="159">
        <f t="shared" ca="1" si="3"/>
        <v>8.75</v>
      </c>
      <c r="Q29" s="160">
        <f t="shared" ca="1" si="4"/>
        <v>0</v>
      </c>
      <c r="R29" s="178">
        <f t="shared" ca="1" si="5"/>
        <v>0</v>
      </c>
      <c r="S29" s="31"/>
    </row>
    <row r="30" spans="2:22" x14ac:dyDescent="0.25">
      <c r="B30" s="196"/>
      <c r="C30" s="171">
        <v>25</v>
      </c>
      <c r="D30" s="172">
        <f t="shared" ca="1" si="6"/>
        <v>35</v>
      </c>
      <c r="E30" s="173">
        <f ca="1">COUNTIF($O$6:O29,C30)*$V$14</f>
        <v>0</v>
      </c>
      <c r="F30" s="173">
        <f t="shared" ca="1" si="7"/>
        <v>35</v>
      </c>
      <c r="G30" s="172">
        <f t="shared" ca="1" si="0"/>
        <v>3</v>
      </c>
      <c r="H30" s="173">
        <f t="shared" ca="1" si="8"/>
        <v>3</v>
      </c>
      <c r="I30" s="173">
        <f t="shared" ca="1" si="9"/>
        <v>0</v>
      </c>
      <c r="J30" s="172">
        <f t="shared" ca="1" si="10"/>
        <v>32</v>
      </c>
      <c r="K30" s="173">
        <f ca="1">COUNTIF($O$6:O29,"&gt;"&amp;C30)*$V$14</f>
        <v>0</v>
      </c>
      <c r="L30" s="173">
        <f t="shared" ca="1" si="11"/>
        <v>32</v>
      </c>
      <c r="M30" s="172">
        <f t="shared" ca="1" si="1"/>
        <v>0</v>
      </c>
      <c r="N30" s="177">
        <f t="shared" ca="1" si="2"/>
        <v>0</v>
      </c>
      <c r="O30" s="173">
        <f t="shared" ca="1" si="12"/>
        <v>0</v>
      </c>
      <c r="P30" s="174">
        <f t="shared" ca="1" si="3"/>
        <v>8</v>
      </c>
      <c r="Q30" s="175">
        <f t="shared" ca="1" si="4"/>
        <v>0</v>
      </c>
      <c r="R30" s="178">
        <f t="shared" ca="1" si="5"/>
        <v>0</v>
      </c>
      <c r="S30" s="31"/>
    </row>
    <row r="31" spans="2:22" x14ac:dyDescent="0.25">
      <c r="O31" s="71" t="s">
        <v>76</v>
      </c>
      <c r="P31" s="83">
        <f ca="1">SUM(P6:P30)</f>
        <v>123.25</v>
      </c>
      <c r="Q31" s="84">
        <f ca="1">SUM(Q6:Q30)</f>
        <v>0</v>
      </c>
      <c r="R31" s="85">
        <f ca="1">SUM(R6:R30)</f>
        <v>45</v>
      </c>
    </row>
    <row r="32" spans="2:22" x14ac:dyDescent="0.25">
      <c r="O32" s="32" t="s">
        <v>77</v>
      </c>
      <c r="P32" s="63"/>
      <c r="Q32" s="63"/>
      <c r="R32" s="86">
        <f ca="1">SUM(P31:R31)</f>
        <v>168.25</v>
      </c>
    </row>
    <row r="33" spans="3:18" x14ac:dyDescent="0.25">
      <c r="P33" s="67"/>
      <c r="Q33" s="67"/>
      <c r="R33" s="87"/>
    </row>
    <row r="34" spans="3:18" x14ac:dyDescent="0.25">
      <c r="C34" s="66" t="s">
        <v>78</v>
      </c>
      <c r="D34" s="66" t="s">
        <v>81</v>
      </c>
      <c r="F34" s="90" t="s">
        <v>82</v>
      </c>
      <c r="G34" s="91"/>
    </row>
    <row r="35" spans="3:18" x14ac:dyDescent="0.25">
      <c r="C35" s="55">
        <v>1</v>
      </c>
      <c r="D35" s="129"/>
      <c r="F35" s="194" t="e">
        <f>AVERAGE(D35:D234)</f>
        <v>#DIV/0!</v>
      </c>
      <c r="G35" s="195"/>
    </row>
    <row r="36" spans="3:18" x14ac:dyDescent="0.25">
      <c r="C36" s="64">
        <v>2</v>
      </c>
      <c r="D36" s="129"/>
    </row>
    <row r="37" spans="3:18" x14ac:dyDescent="0.25">
      <c r="C37" s="64">
        <v>3</v>
      </c>
      <c r="D37" s="129"/>
      <c r="N37" s="92"/>
    </row>
    <row r="38" spans="3:18" x14ac:dyDescent="0.25">
      <c r="C38" s="64">
        <v>4</v>
      </c>
      <c r="D38" s="129"/>
      <c r="N38" s="92"/>
    </row>
    <row r="39" spans="3:18" x14ac:dyDescent="0.25">
      <c r="C39" s="64">
        <v>5</v>
      </c>
      <c r="D39" s="129"/>
      <c r="N39" s="92"/>
    </row>
    <row r="40" spans="3:18" x14ac:dyDescent="0.25">
      <c r="C40" s="64">
        <v>6</v>
      </c>
      <c r="D40" s="129"/>
      <c r="N40" s="92"/>
    </row>
    <row r="41" spans="3:18" x14ac:dyDescent="0.25">
      <c r="C41" s="64">
        <v>7</v>
      </c>
      <c r="D41" s="129"/>
    </row>
    <row r="42" spans="3:18" x14ac:dyDescent="0.25">
      <c r="C42" s="64">
        <v>8</v>
      </c>
      <c r="D42" s="129"/>
    </row>
    <row r="43" spans="3:18" x14ac:dyDescent="0.25">
      <c r="C43" s="64">
        <v>9</v>
      </c>
      <c r="D43" s="129"/>
    </row>
    <row r="44" spans="3:18" x14ac:dyDescent="0.25">
      <c r="C44" s="64">
        <v>10</v>
      </c>
      <c r="D44" s="129"/>
    </row>
    <row r="45" spans="3:18" x14ac:dyDescent="0.25">
      <c r="C45" s="64">
        <v>11</v>
      </c>
      <c r="D45" s="129"/>
    </row>
    <row r="46" spans="3:18" x14ac:dyDescent="0.25">
      <c r="C46" s="64">
        <v>12</v>
      </c>
      <c r="D46" s="129"/>
    </row>
    <row r="47" spans="3:18" x14ac:dyDescent="0.25">
      <c r="C47" s="64">
        <v>13</v>
      </c>
      <c r="D47" s="129"/>
    </row>
    <row r="48" spans="3:18" x14ac:dyDescent="0.25">
      <c r="C48" s="64">
        <v>14</v>
      </c>
      <c r="D48" s="129"/>
    </row>
    <row r="49" spans="3:4" x14ac:dyDescent="0.25">
      <c r="C49" s="64">
        <v>15</v>
      </c>
      <c r="D49" s="129"/>
    </row>
    <row r="50" spans="3:4" x14ac:dyDescent="0.25">
      <c r="C50" s="64">
        <v>16</v>
      </c>
      <c r="D50" s="129"/>
    </row>
    <row r="51" spans="3:4" x14ac:dyDescent="0.25">
      <c r="C51" s="64">
        <v>17</v>
      </c>
      <c r="D51" s="129"/>
    </row>
    <row r="52" spans="3:4" x14ac:dyDescent="0.25">
      <c r="C52" s="64">
        <v>18</v>
      </c>
      <c r="D52" s="129"/>
    </row>
    <row r="53" spans="3:4" x14ac:dyDescent="0.25">
      <c r="C53" s="64">
        <v>19</v>
      </c>
      <c r="D53" s="129"/>
    </row>
    <row r="54" spans="3:4" x14ac:dyDescent="0.25">
      <c r="C54" s="64">
        <v>20</v>
      </c>
      <c r="D54" s="129"/>
    </row>
    <row r="55" spans="3:4" x14ac:dyDescent="0.25">
      <c r="C55" s="64">
        <v>21</v>
      </c>
      <c r="D55" s="129"/>
    </row>
    <row r="56" spans="3:4" x14ac:dyDescent="0.25">
      <c r="C56" s="64">
        <v>22</v>
      </c>
      <c r="D56" s="129"/>
    </row>
    <row r="57" spans="3:4" x14ac:dyDescent="0.25">
      <c r="C57" s="64">
        <v>23</v>
      </c>
      <c r="D57" s="129"/>
    </row>
    <row r="58" spans="3:4" x14ac:dyDescent="0.25">
      <c r="C58" s="64">
        <v>24</v>
      </c>
      <c r="D58" s="129"/>
    </row>
    <row r="59" spans="3:4" x14ac:dyDescent="0.25">
      <c r="C59" s="64">
        <v>25</v>
      </c>
      <c r="D59" s="129"/>
    </row>
    <row r="60" spans="3:4" x14ac:dyDescent="0.25">
      <c r="C60" s="64">
        <v>26</v>
      </c>
      <c r="D60" s="129"/>
    </row>
    <row r="61" spans="3:4" x14ac:dyDescent="0.25">
      <c r="C61" s="64">
        <v>27</v>
      </c>
      <c r="D61" s="129"/>
    </row>
    <row r="62" spans="3:4" x14ac:dyDescent="0.25">
      <c r="C62" s="64">
        <v>28</v>
      </c>
      <c r="D62" s="129"/>
    </row>
    <row r="63" spans="3:4" x14ac:dyDescent="0.25">
      <c r="C63" s="64">
        <v>29</v>
      </c>
      <c r="D63" s="129"/>
    </row>
    <row r="64" spans="3:4" x14ac:dyDescent="0.25">
      <c r="C64" s="64">
        <v>30</v>
      </c>
      <c r="D64" s="129"/>
    </row>
    <row r="65" spans="3:4" x14ac:dyDescent="0.25">
      <c r="C65" s="64">
        <v>31</v>
      </c>
      <c r="D65" s="129"/>
    </row>
    <row r="66" spans="3:4" x14ac:dyDescent="0.25">
      <c r="C66" s="64">
        <v>32</v>
      </c>
      <c r="D66" s="129"/>
    </row>
    <row r="67" spans="3:4" x14ac:dyDescent="0.25">
      <c r="C67" s="64">
        <v>33</v>
      </c>
      <c r="D67" s="129"/>
    </row>
    <row r="68" spans="3:4" x14ac:dyDescent="0.25">
      <c r="C68" s="64">
        <v>34</v>
      </c>
      <c r="D68" s="129"/>
    </row>
    <row r="69" spans="3:4" x14ac:dyDescent="0.25">
      <c r="C69" s="64">
        <v>35</v>
      </c>
      <c r="D69" s="129"/>
    </row>
    <row r="70" spans="3:4" x14ac:dyDescent="0.25">
      <c r="C70" s="64">
        <v>36</v>
      </c>
      <c r="D70" s="129"/>
    </row>
    <row r="71" spans="3:4" x14ac:dyDescent="0.25">
      <c r="C71" s="64">
        <v>37</v>
      </c>
      <c r="D71" s="129"/>
    </row>
    <row r="72" spans="3:4" x14ac:dyDescent="0.25">
      <c r="C72" s="64">
        <v>38</v>
      </c>
      <c r="D72" s="129"/>
    </row>
    <row r="73" spans="3:4" x14ac:dyDescent="0.25">
      <c r="C73" s="64">
        <v>39</v>
      </c>
      <c r="D73" s="129"/>
    </row>
    <row r="74" spans="3:4" x14ac:dyDescent="0.25">
      <c r="C74" s="64">
        <v>40</v>
      </c>
      <c r="D74" s="129"/>
    </row>
    <row r="75" spans="3:4" x14ac:dyDescent="0.25">
      <c r="C75" s="64">
        <v>41</v>
      </c>
      <c r="D75" s="129"/>
    </row>
    <row r="76" spans="3:4" x14ac:dyDescent="0.25">
      <c r="C76" s="64">
        <v>42</v>
      </c>
      <c r="D76" s="129"/>
    </row>
    <row r="77" spans="3:4" x14ac:dyDescent="0.25">
      <c r="C77" s="64">
        <v>43</v>
      </c>
      <c r="D77" s="129"/>
    </row>
    <row r="78" spans="3:4" x14ac:dyDescent="0.25">
      <c r="C78" s="64">
        <v>44</v>
      </c>
      <c r="D78" s="129"/>
    </row>
    <row r="79" spans="3:4" x14ac:dyDescent="0.25">
      <c r="C79" s="64">
        <v>45</v>
      </c>
      <c r="D79" s="129"/>
    </row>
    <row r="80" spans="3:4" x14ac:dyDescent="0.25">
      <c r="C80" s="64">
        <v>46</v>
      </c>
      <c r="D80" s="129"/>
    </row>
    <row r="81" spans="3:4" x14ac:dyDescent="0.25">
      <c r="C81" s="64">
        <v>47</v>
      </c>
      <c r="D81" s="129"/>
    </row>
    <row r="82" spans="3:4" x14ac:dyDescent="0.25">
      <c r="C82" s="64">
        <v>48</v>
      </c>
      <c r="D82" s="129"/>
    </row>
    <row r="83" spans="3:4" x14ac:dyDescent="0.25">
      <c r="C83" s="64">
        <v>49</v>
      </c>
      <c r="D83" s="129"/>
    </row>
    <row r="84" spans="3:4" x14ac:dyDescent="0.25">
      <c r="C84" s="64">
        <v>50</v>
      </c>
      <c r="D84" s="129"/>
    </row>
    <row r="85" spans="3:4" x14ac:dyDescent="0.25">
      <c r="C85" s="64">
        <v>51</v>
      </c>
      <c r="D85" s="129"/>
    </row>
    <row r="86" spans="3:4" x14ac:dyDescent="0.25">
      <c r="C86" s="64">
        <v>52</v>
      </c>
      <c r="D86" s="129"/>
    </row>
    <row r="87" spans="3:4" x14ac:dyDescent="0.25">
      <c r="C87" s="64">
        <v>53</v>
      </c>
      <c r="D87" s="129"/>
    </row>
    <row r="88" spans="3:4" x14ac:dyDescent="0.25">
      <c r="C88" s="64">
        <v>54</v>
      </c>
      <c r="D88" s="129"/>
    </row>
    <row r="89" spans="3:4" x14ac:dyDescent="0.25">
      <c r="C89" s="64">
        <v>55</v>
      </c>
      <c r="D89" s="129"/>
    </row>
    <row r="90" spans="3:4" x14ac:dyDescent="0.25">
      <c r="C90" s="64">
        <v>56</v>
      </c>
      <c r="D90" s="129"/>
    </row>
    <row r="91" spans="3:4" x14ac:dyDescent="0.25">
      <c r="C91" s="64">
        <v>57</v>
      </c>
      <c r="D91" s="129"/>
    </row>
    <row r="92" spans="3:4" x14ac:dyDescent="0.25">
      <c r="C92" s="64">
        <v>58</v>
      </c>
      <c r="D92" s="129"/>
    </row>
    <row r="93" spans="3:4" x14ac:dyDescent="0.25">
      <c r="C93" s="64">
        <v>59</v>
      </c>
      <c r="D93" s="129"/>
    </row>
    <row r="94" spans="3:4" x14ac:dyDescent="0.25">
      <c r="C94" s="64">
        <v>60</v>
      </c>
      <c r="D94" s="129"/>
    </row>
    <row r="95" spans="3:4" x14ac:dyDescent="0.25">
      <c r="C95" s="64">
        <v>61</v>
      </c>
      <c r="D95" s="129"/>
    </row>
    <row r="96" spans="3:4" x14ac:dyDescent="0.25">
      <c r="C96" s="64">
        <v>62</v>
      </c>
      <c r="D96" s="129"/>
    </row>
    <row r="97" spans="3:4" x14ac:dyDescent="0.25">
      <c r="C97" s="64">
        <v>63</v>
      </c>
      <c r="D97" s="129"/>
    </row>
    <row r="98" spans="3:4" x14ac:dyDescent="0.25">
      <c r="C98" s="64">
        <v>64</v>
      </c>
      <c r="D98" s="129"/>
    </row>
    <row r="99" spans="3:4" x14ac:dyDescent="0.25">
      <c r="C99" s="64">
        <v>65</v>
      </c>
      <c r="D99" s="129"/>
    </row>
    <row r="100" spans="3:4" x14ac:dyDescent="0.25">
      <c r="C100" s="64">
        <v>66</v>
      </c>
      <c r="D100" s="129"/>
    </row>
    <row r="101" spans="3:4" x14ac:dyDescent="0.25">
      <c r="C101" s="64">
        <v>67</v>
      </c>
      <c r="D101" s="129"/>
    </row>
    <row r="102" spans="3:4" x14ac:dyDescent="0.25">
      <c r="C102" s="64">
        <v>68</v>
      </c>
      <c r="D102" s="129"/>
    </row>
    <row r="103" spans="3:4" x14ac:dyDescent="0.25">
      <c r="C103" s="64">
        <v>69</v>
      </c>
      <c r="D103" s="129"/>
    </row>
    <row r="104" spans="3:4" x14ac:dyDescent="0.25">
      <c r="C104" s="64">
        <v>70</v>
      </c>
      <c r="D104" s="129"/>
    </row>
    <row r="105" spans="3:4" x14ac:dyDescent="0.25">
      <c r="C105" s="64">
        <v>71</v>
      </c>
      <c r="D105" s="129"/>
    </row>
    <row r="106" spans="3:4" x14ac:dyDescent="0.25">
      <c r="C106" s="64">
        <v>72</v>
      </c>
      <c r="D106" s="129"/>
    </row>
    <row r="107" spans="3:4" x14ac:dyDescent="0.25">
      <c r="C107" s="64">
        <v>73</v>
      </c>
      <c r="D107" s="129"/>
    </row>
    <row r="108" spans="3:4" x14ac:dyDescent="0.25">
      <c r="C108" s="64">
        <v>74</v>
      </c>
      <c r="D108" s="129"/>
    </row>
    <row r="109" spans="3:4" x14ac:dyDescent="0.25">
      <c r="C109" s="64">
        <v>75</v>
      </c>
      <c r="D109" s="129"/>
    </row>
    <row r="110" spans="3:4" x14ac:dyDescent="0.25">
      <c r="C110" s="64">
        <v>76</v>
      </c>
      <c r="D110" s="129"/>
    </row>
    <row r="111" spans="3:4" x14ac:dyDescent="0.25">
      <c r="C111" s="64">
        <v>77</v>
      </c>
      <c r="D111" s="129"/>
    </row>
    <row r="112" spans="3:4" x14ac:dyDescent="0.25">
      <c r="C112" s="64">
        <v>78</v>
      </c>
      <c r="D112" s="129"/>
    </row>
    <row r="113" spans="3:4" x14ac:dyDescent="0.25">
      <c r="C113" s="64">
        <v>79</v>
      </c>
      <c r="D113" s="129"/>
    </row>
    <row r="114" spans="3:4" x14ac:dyDescent="0.25">
      <c r="C114" s="64">
        <v>80</v>
      </c>
      <c r="D114" s="129"/>
    </row>
    <row r="115" spans="3:4" x14ac:dyDescent="0.25">
      <c r="C115" s="64">
        <v>81</v>
      </c>
      <c r="D115" s="129"/>
    </row>
    <row r="116" spans="3:4" x14ac:dyDescent="0.25">
      <c r="C116" s="64">
        <v>82</v>
      </c>
      <c r="D116" s="129"/>
    </row>
    <row r="117" spans="3:4" x14ac:dyDescent="0.25">
      <c r="C117" s="64">
        <v>83</v>
      </c>
      <c r="D117" s="129"/>
    </row>
    <row r="118" spans="3:4" x14ac:dyDescent="0.25">
      <c r="C118" s="64">
        <v>84</v>
      </c>
      <c r="D118" s="129"/>
    </row>
    <row r="119" spans="3:4" x14ac:dyDescent="0.25">
      <c r="C119" s="64">
        <v>85</v>
      </c>
      <c r="D119" s="129"/>
    </row>
    <row r="120" spans="3:4" x14ac:dyDescent="0.25">
      <c r="C120" s="64">
        <v>86</v>
      </c>
      <c r="D120" s="129"/>
    </row>
    <row r="121" spans="3:4" x14ac:dyDescent="0.25">
      <c r="C121" s="64">
        <v>87</v>
      </c>
      <c r="D121" s="129"/>
    </row>
    <row r="122" spans="3:4" x14ac:dyDescent="0.25">
      <c r="C122" s="64">
        <v>88</v>
      </c>
      <c r="D122" s="129"/>
    </row>
    <row r="123" spans="3:4" x14ac:dyDescent="0.25">
      <c r="C123" s="64">
        <v>89</v>
      </c>
      <c r="D123" s="129"/>
    </row>
    <row r="124" spans="3:4" x14ac:dyDescent="0.25">
      <c r="C124" s="64">
        <v>90</v>
      </c>
      <c r="D124" s="129"/>
    </row>
    <row r="125" spans="3:4" x14ac:dyDescent="0.25">
      <c r="C125" s="64">
        <v>91</v>
      </c>
      <c r="D125" s="129"/>
    </row>
    <row r="126" spans="3:4" x14ac:dyDescent="0.25">
      <c r="C126" s="64">
        <v>92</v>
      </c>
      <c r="D126" s="129"/>
    </row>
    <row r="127" spans="3:4" x14ac:dyDescent="0.25">
      <c r="C127" s="64">
        <v>93</v>
      </c>
      <c r="D127" s="129"/>
    </row>
    <row r="128" spans="3:4" x14ac:dyDescent="0.25">
      <c r="C128" s="64">
        <v>94</v>
      </c>
      <c r="D128" s="129"/>
    </row>
    <row r="129" spans="3:7" x14ac:dyDescent="0.25">
      <c r="C129" s="64">
        <v>95</v>
      </c>
      <c r="D129" s="129"/>
    </row>
    <row r="130" spans="3:7" x14ac:dyDescent="0.25">
      <c r="C130" s="64">
        <v>96</v>
      </c>
      <c r="D130" s="129"/>
    </row>
    <row r="131" spans="3:7" x14ac:dyDescent="0.25">
      <c r="C131" s="64">
        <v>97</v>
      </c>
      <c r="D131" s="129"/>
    </row>
    <row r="132" spans="3:7" x14ac:dyDescent="0.25">
      <c r="C132" s="64">
        <v>98</v>
      </c>
      <c r="D132" s="129"/>
    </row>
    <row r="133" spans="3:7" x14ac:dyDescent="0.25">
      <c r="C133" s="64">
        <v>99</v>
      </c>
      <c r="D133" s="129"/>
    </row>
    <row r="134" spans="3:7" x14ac:dyDescent="0.25">
      <c r="C134" s="59">
        <v>100</v>
      </c>
      <c r="D134" s="130"/>
    </row>
    <row r="135" spans="3:7" x14ac:dyDescent="0.25">
      <c r="F135" s="89"/>
      <c r="G135" s="89"/>
    </row>
    <row r="136" spans="3:7" x14ac:dyDescent="0.25">
      <c r="F136" s="89"/>
      <c r="G136" s="89"/>
    </row>
    <row r="137" spans="3:7" x14ac:dyDescent="0.25">
      <c r="F137" s="89"/>
      <c r="G137" s="89"/>
    </row>
    <row r="138" spans="3:7" x14ac:dyDescent="0.25">
      <c r="F138" s="89"/>
      <c r="G138" s="89"/>
    </row>
    <row r="139" spans="3:7" x14ac:dyDescent="0.25">
      <c r="F139" s="89"/>
      <c r="G139" s="89"/>
    </row>
    <row r="140" spans="3:7" x14ac:dyDescent="0.25">
      <c r="F140" s="89"/>
      <c r="G140" s="89"/>
    </row>
    <row r="141" spans="3:7" x14ac:dyDescent="0.25">
      <c r="F141" s="89"/>
      <c r="G141" s="89"/>
    </row>
    <row r="142" spans="3:7" x14ac:dyDescent="0.25">
      <c r="F142" s="89"/>
      <c r="G142" s="89"/>
    </row>
    <row r="143" spans="3:7" x14ac:dyDescent="0.25">
      <c r="F143" s="89"/>
      <c r="G143" s="89"/>
    </row>
    <row r="144" spans="3:7" x14ac:dyDescent="0.25">
      <c r="F144" s="89"/>
      <c r="G144" s="89"/>
    </row>
    <row r="145" spans="6:7" x14ac:dyDescent="0.25">
      <c r="F145" s="89"/>
      <c r="G145" s="89"/>
    </row>
    <row r="146" spans="6:7" x14ac:dyDescent="0.25">
      <c r="F146" s="89"/>
      <c r="G146" s="89"/>
    </row>
    <row r="147" spans="6:7" x14ac:dyDescent="0.25">
      <c r="F147" s="89"/>
      <c r="G147" s="89"/>
    </row>
    <row r="148" spans="6:7" x14ac:dyDescent="0.25">
      <c r="F148" s="89"/>
      <c r="G148" s="89"/>
    </row>
    <row r="149" spans="6:7" x14ac:dyDescent="0.25">
      <c r="F149" s="89"/>
      <c r="G149" s="89"/>
    </row>
    <row r="150" spans="6:7" x14ac:dyDescent="0.25">
      <c r="F150" s="89"/>
      <c r="G150" s="89"/>
    </row>
    <row r="151" spans="6:7" x14ac:dyDescent="0.25">
      <c r="F151" s="89"/>
      <c r="G151" s="89"/>
    </row>
    <row r="152" spans="6:7" x14ac:dyDescent="0.25">
      <c r="F152" s="89"/>
      <c r="G152" s="89"/>
    </row>
    <row r="153" spans="6:7" x14ac:dyDescent="0.25">
      <c r="F153" s="89"/>
      <c r="G153" s="89"/>
    </row>
    <row r="154" spans="6:7" x14ac:dyDescent="0.25">
      <c r="F154" s="89"/>
      <c r="G154" s="89"/>
    </row>
    <row r="155" spans="6:7" x14ac:dyDescent="0.25">
      <c r="F155" s="89"/>
      <c r="G155" s="89"/>
    </row>
    <row r="156" spans="6:7" x14ac:dyDescent="0.25">
      <c r="F156" s="89"/>
      <c r="G156" s="89"/>
    </row>
    <row r="157" spans="6:7" x14ac:dyDescent="0.25">
      <c r="F157" s="89"/>
      <c r="G157" s="89"/>
    </row>
    <row r="158" spans="6:7" x14ac:dyDescent="0.25">
      <c r="F158" s="89"/>
      <c r="G158" s="89"/>
    </row>
    <row r="159" spans="6:7" x14ac:dyDescent="0.25">
      <c r="F159" s="89"/>
      <c r="G159" s="89"/>
    </row>
    <row r="160" spans="6:7" x14ac:dyDescent="0.25">
      <c r="F160" s="89"/>
      <c r="G160" s="89"/>
    </row>
    <row r="161" spans="6:7" x14ac:dyDescent="0.25">
      <c r="F161" s="89"/>
      <c r="G161" s="89"/>
    </row>
    <row r="162" spans="6:7" x14ac:dyDescent="0.25">
      <c r="F162" s="89"/>
      <c r="G162" s="89"/>
    </row>
    <row r="163" spans="6:7" x14ac:dyDescent="0.25">
      <c r="F163" s="89"/>
      <c r="G163" s="89"/>
    </row>
    <row r="164" spans="6:7" x14ac:dyDescent="0.25">
      <c r="F164" s="89"/>
      <c r="G164" s="89"/>
    </row>
    <row r="165" spans="6:7" x14ac:dyDescent="0.25">
      <c r="F165" s="89"/>
      <c r="G165" s="89"/>
    </row>
    <row r="166" spans="6:7" x14ac:dyDescent="0.25">
      <c r="F166" s="89"/>
      <c r="G166" s="89"/>
    </row>
    <row r="167" spans="6:7" x14ac:dyDescent="0.25">
      <c r="F167" s="89"/>
      <c r="G167" s="89"/>
    </row>
    <row r="168" spans="6:7" x14ac:dyDescent="0.25">
      <c r="F168" s="89"/>
      <c r="G168" s="89"/>
    </row>
    <row r="169" spans="6:7" x14ac:dyDescent="0.25">
      <c r="F169" s="89"/>
      <c r="G169" s="89"/>
    </row>
    <row r="170" spans="6:7" x14ac:dyDescent="0.25">
      <c r="F170" s="89"/>
      <c r="G170" s="89"/>
    </row>
    <row r="171" spans="6:7" x14ac:dyDescent="0.25">
      <c r="F171" s="89"/>
      <c r="G171" s="89"/>
    </row>
    <row r="172" spans="6:7" x14ac:dyDescent="0.25">
      <c r="F172" s="89"/>
      <c r="G172" s="89"/>
    </row>
    <row r="173" spans="6:7" x14ac:dyDescent="0.25">
      <c r="F173" s="89"/>
      <c r="G173" s="89"/>
    </row>
    <row r="174" spans="6:7" x14ac:dyDescent="0.25">
      <c r="F174" s="89"/>
      <c r="G174" s="89"/>
    </row>
    <row r="175" spans="6:7" x14ac:dyDescent="0.25">
      <c r="F175" s="89"/>
      <c r="G175" s="89"/>
    </row>
    <row r="176" spans="6:7" x14ac:dyDescent="0.25">
      <c r="F176" s="89"/>
      <c r="G176" s="89"/>
    </row>
    <row r="177" spans="6:7" x14ac:dyDescent="0.25">
      <c r="F177" s="89"/>
      <c r="G177" s="89"/>
    </row>
    <row r="178" spans="6:7" x14ac:dyDescent="0.25">
      <c r="F178" s="89"/>
      <c r="G178" s="89"/>
    </row>
    <row r="179" spans="6:7" x14ac:dyDescent="0.25">
      <c r="F179" s="89"/>
      <c r="G179" s="89"/>
    </row>
    <row r="180" spans="6:7" x14ac:dyDescent="0.25">
      <c r="F180" s="89"/>
      <c r="G180" s="89"/>
    </row>
    <row r="181" spans="6:7" x14ac:dyDescent="0.25">
      <c r="F181" s="89"/>
      <c r="G181" s="89"/>
    </row>
    <row r="182" spans="6:7" x14ac:dyDescent="0.25">
      <c r="F182" s="89"/>
      <c r="G182" s="89"/>
    </row>
    <row r="183" spans="6:7" x14ac:dyDescent="0.25">
      <c r="F183" s="89"/>
      <c r="G183" s="89"/>
    </row>
    <row r="184" spans="6:7" x14ac:dyDescent="0.25">
      <c r="F184" s="89"/>
      <c r="G184" s="89"/>
    </row>
    <row r="185" spans="6:7" x14ac:dyDescent="0.25">
      <c r="F185" s="89"/>
      <c r="G185" s="89"/>
    </row>
    <row r="186" spans="6:7" x14ac:dyDescent="0.25">
      <c r="F186" s="89"/>
      <c r="G186" s="89"/>
    </row>
    <row r="187" spans="6:7" x14ac:dyDescent="0.25">
      <c r="F187" s="89"/>
      <c r="G187" s="89"/>
    </row>
    <row r="188" spans="6:7" x14ac:dyDescent="0.25">
      <c r="F188" s="89"/>
      <c r="G188" s="89"/>
    </row>
    <row r="189" spans="6:7" x14ac:dyDescent="0.25">
      <c r="F189" s="89"/>
      <c r="G189" s="89"/>
    </row>
    <row r="190" spans="6:7" x14ac:dyDescent="0.25">
      <c r="F190" s="89"/>
      <c r="G190" s="89"/>
    </row>
    <row r="191" spans="6:7" x14ac:dyDescent="0.25">
      <c r="F191" s="89"/>
      <c r="G191" s="89"/>
    </row>
    <row r="192" spans="6:7" x14ac:dyDescent="0.25">
      <c r="F192" s="89"/>
      <c r="G192" s="89"/>
    </row>
    <row r="193" spans="6:7" x14ac:dyDescent="0.25">
      <c r="F193" s="89"/>
      <c r="G193" s="89"/>
    </row>
    <row r="194" spans="6:7" x14ac:dyDescent="0.25">
      <c r="F194" s="89"/>
      <c r="G194" s="89"/>
    </row>
    <row r="195" spans="6:7" x14ac:dyDescent="0.25">
      <c r="F195" s="89"/>
      <c r="G195" s="89"/>
    </row>
    <row r="196" spans="6:7" x14ac:dyDescent="0.25">
      <c r="F196" s="89"/>
      <c r="G196" s="89"/>
    </row>
    <row r="197" spans="6:7" x14ac:dyDescent="0.25">
      <c r="F197" s="89"/>
      <c r="G197" s="89"/>
    </row>
    <row r="198" spans="6:7" x14ac:dyDescent="0.25">
      <c r="F198" s="89"/>
      <c r="G198" s="89"/>
    </row>
    <row r="199" spans="6:7" x14ac:dyDescent="0.25">
      <c r="F199" s="89"/>
      <c r="G199" s="89"/>
    </row>
    <row r="200" spans="6:7" x14ac:dyDescent="0.25">
      <c r="F200" s="89"/>
      <c r="G200" s="89"/>
    </row>
    <row r="201" spans="6:7" x14ac:dyDescent="0.25">
      <c r="F201" s="89"/>
      <c r="G201" s="89"/>
    </row>
    <row r="202" spans="6:7" x14ac:dyDescent="0.25">
      <c r="F202" s="89"/>
      <c r="G202" s="89"/>
    </row>
    <row r="203" spans="6:7" x14ac:dyDescent="0.25">
      <c r="F203" s="89"/>
      <c r="G203" s="89"/>
    </row>
    <row r="204" spans="6:7" x14ac:dyDescent="0.25">
      <c r="F204" s="89"/>
      <c r="G204" s="89"/>
    </row>
    <row r="205" spans="6:7" x14ac:dyDescent="0.25">
      <c r="F205" s="89"/>
      <c r="G205" s="89"/>
    </row>
    <row r="206" spans="6:7" x14ac:dyDescent="0.25">
      <c r="F206" s="89"/>
      <c r="G206" s="89"/>
    </row>
    <row r="207" spans="6:7" x14ac:dyDescent="0.25">
      <c r="F207" s="89"/>
      <c r="G207" s="89"/>
    </row>
    <row r="208" spans="6:7" x14ac:dyDescent="0.25">
      <c r="F208" s="89"/>
      <c r="G208" s="89"/>
    </row>
    <row r="209" spans="6:7" x14ac:dyDescent="0.25">
      <c r="F209" s="89"/>
      <c r="G209" s="89"/>
    </row>
    <row r="210" spans="6:7" x14ac:dyDescent="0.25">
      <c r="F210" s="89"/>
      <c r="G210" s="89"/>
    </row>
    <row r="211" spans="6:7" x14ac:dyDescent="0.25">
      <c r="F211" s="89"/>
      <c r="G211" s="89"/>
    </row>
    <row r="212" spans="6:7" x14ac:dyDescent="0.25">
      <c r="F212" s="89"/>
      <c r="G212" s="89"/>
    </row>
    <row r="213" spans="6:7" x14ac:dyDescent="0.25">
      <c r="F213" s="89"/>
      <c r="G213" s="89"/>
    </row>
    <row r="214" spans="6:7" x14ac:dyDescent="0.25">
      <c r="F214" s="89"/>
      <c r="G214" s="89"/>
    </row>
    <row r="215" spans="6:7" x14ac:dyDescent="0.25">
      <c r="F215" s="89"/>
      <c r="G215" s="89"/>
    </row>
    <row r="216" spans="6:7" x14ac:dyDescent="0.25">
      <c r="F216" s="89"/>
      <c r="G216" s="89"/>
    </row>
    <row r="217" spans="6:7" x14ac:dyDescent="0.25">
      <c r="F217" s="89"/>
      <c r="G217" s="89"/>
    </row>
    <row r="218" spans="6:7" x14ac:dyDescent="0.25">
      <c r="F218" s="89"/>
      <c r="G218" s="89"/>
    </row>
    <row r="219" spans="6:7" x14ac:dyDescent="0.25">
      <c r="F219" s="89"/>
      <c r="G219" s="89"/>
    </row>
    <row r="220" spans="6:7" x14ac:dyDescent="0.25">
      <c r="F220" s="89"/>
      <c r="G220" s="89"/>
    </row>
    <row r="221" spans="6:7" x14ac:dyDescent="0.25">
      <c r="F221" s="89"/>
      <c r="G221" s="89"/>
    </row>
    <row r="222" spans="6:7" x14ac:dyDescent="0.25">
      <c r="F222" s="89"/>
      <c r="G222" s="89"/>
    </row>
    <row r="223" spans="6:7" x14ac:dyDescent="0.25">
      <c r="F223" s="89"/>
      <c r="G223" s="89"/>
    </row>
    <row r="224" spans="6:7" x14ac:dyDescent="0.25">
      <c r="F224" s="89"/>
      <c r="G224" s="89"/>
    </row>
    <row r="225" spans="3:7" x14ac:dyDescent="0.25">
      <c r="F225" s="89"/>
      <c r="G225" s="89"/>
    </row>
    <row r="226" spans="3:7" x14ac:dyDescent="0.25">
      <c r="F226" s="89"/>
      <c r="G226" s="89"/>
    </row>
    <row r="227" spans="3:7" x14ac:dyDescent="0.25">
      <c r="F227" s="89"/>
      <c r="G227" s="89"/>
    </row>
    <row r="228" spans="3:7" x14ac:dyDescent="0.25">
      <c r="F228" s="89"/>
      <c r="G228" s="89"/>
    </row>
    <row r="229" spans="3:7" x14ac:dyDescent="0.25">
      <c r="F229" s="89"/>
      <c r="G229" s="89"/>
    </row>
    <row r="230" spans="3:7" x14ac:dyDescent="0.25">
      <c r="F230" s="89"/>
      <c r="G230" s="89"/>
    </row>
    <row r="231" spans="3:7" x14ac:dyDescent="0.25">
      <c r="F231" s="89"/>
      <c r="G231" s="89"/>
    </row>
    <row r="232" spans="3:7" x14ac:dyDescent="0.25">
      <c r="F232" s="89"/>
      <c r="G232" s="89"/>
    </row>
    <row r="233" spans="3:7" x14ac:dyDescent="0.25">
      <c r="F233" s="89"/>
      <c r="G233" s="89"/>
    </row>
    <row r="234" spans="3:7" x14ac:dyDescent="0.25">
      <c r="F234" s="89"/>
      <c r="G234" s="89"/>
    </row>
    <row r="235" spans="3:7" x14ac:dyDescent="0.25">
      <c r="F235" s="89"/>
      <c r="G235" s="89"/>
    </row>
    <row r="236" spans="3:7" x14ac:dyDescent="0.25">
      <c r="F236" s="89"/>
      <c r="G236" s="89"/>
    </row>
    <row r="237" spans="3:7" x14ac:dyDescent="0.25">
      <c r="F237" s="89"/>
      <c r="G237" s="89"/>
    </row>
    <row r="238" spans="3:7" x14ac:dyDescent="0.25">
      <c r="C238" s="67"/>
      <c r="D238" s="88"/>
      <c r="E238" s="89"/>
      <c r="F238" s="89"/>
      <c r="G238" s="89"/>
    </row>
    <row r="239" spans="3:7" x14ac:dyDescent="0.25">
      <c r="C239" s="67"/>
      <c r="D239" s="88"/>
      <c r="E239" s="89"/>
      <c r="F239" s="89"/>
      <c r="G239" s="89"/>
    </row>
    <row r="240" spans="3:7" x14ac:dyDescent="0.25">
      <c r="C240" s="67"/>
      <c r="D240" s="88"/>
      <c r="E240" s="89"/>
      <c r="F240" s="89"/>
      <c r="G240" s="89"/>
    </row>
    <row r="241" spans="3:7" x14ac:dyDescent="0.25">
      <c r="C241" s="67"/>
      <c r="D241" s="88"/>
      <c r="E241" s="89"/>
      <c r="F241" s="89"/>
      <c r="G241" s="89"/>
    </row>
    <row r="242" spans="3:7" x14ac:dyDescent="0.25">
      <c r="C242" s="67"/>
      <c r="D242" s="88"/>
      <c r="E242" s="89"/>
      <c r="F242" s="89"/>
      <c r="G242" s="89"/>
    </row>
    <row r="243" spans="3:7" x14ac:dyDescent="0.25">
      <c r="C243" s="67"/>
      <c r="D243" s="88"/>
      <c r="E243" s="89"/>
      <c r="F243" s="89"/>
      <c r="G243" s="89"/>
    </row>
    <row r="244" spans="3:7" x14ac:dyDescent="0.25">
      <c r="C244" s="67"/>
      <c r="D244" s="88"/>
      <c r="E244" s="89"/>
      <c r="F244" s="89"/>
      <c r="G244" s="89"/>
    </row>
    <row r="245" spans="3:7" x14ac:dyDescent="0.25">
      <c r="C245" s="67"/>
      <c r="D245" s="88"/>
      <c r="E245" s="89"/>
      <c r="F245" s="89"/>
      <c r="G245" s="89"/>
    </row>
    <row r="246" spans="3:7" x14ac:dyDescent="0.25">
      <c r="C246" s="67"/>
      <c r="D246" s="88"/>
      <c r="E246" s="89"/>
      <c r="F246" s="89"/>
      <c r="G246" s="89"/>
    </row>
    <row r="247" spans="3:7" x14ac:dyDescent="0.25">
      <c r="C247" s="67"/>
      <c r="D247" s="88"/>
      <c r="E247" s="89"/>
      <c r="F247" s="89"/>
      <c r="G247" s="89"/>
    </row>
    <row r="248" spans="3:7" x14ac:dyDescent="0.25">
      <c r="C248" s="67"/>
      <c r="D248" s="88"/>
      <c r="E248" s="89"/>
      <c r="F248" s="89"/>
      <c r="G248" s="89"/>
    </row>
    <row r="249" spans="3:7" x14ac:dyDescent="0.25">
      <c r="C249" s="67"/>
      <c r="D249" s="88"/>
      <c r="E249" s="89"/>
      <c r="F249" s="89"/>
      <c r="G249" s="89"/>
    </row>
    <row r="250" spans="3:7" x14ac:dyDescent="0.25">
      <c r="C250" s="67"/>
      <c r="D250" s="88"/>
      <c r="E250" s="89"/>
      <c r="F250" s="89"/>
      <c r="G250" s="89"/>
    </row>
    <row r="251" spans="3:7" x14ac:dyDescent="0.25">
      <c r="C251" s="67"/>
      <c r="D251" s="88"/>
      <c r="E251" s="89"/>
      <c r="F251" s="89"/>
      <c r="G251" s="89"/>
    </row>
    <row r="252" spans="3:7" x14ac:dyDescent="0.25">
      <c r="C252" s="67"/>
      <c r="D252" s="88"/>
      <c r="E252" s="89"/>
      <c r="F252" s="89"/>
      <c r="G252" s="89"/>
    </row>
    <row r="253" spans="3:7" x14ac:dyDescent="0.25">
      <c r="C253" s="67"/>
      <c r="D253" s="88"/>
      <c r="E253" s="89"/>
      <c r="F253" s="89"/>
      <c r="G253" s="89"/>
    </row>
    <row r="254" spans="3:7" x14ac:dyDescent="0.25">
      <c r="C254" s="67"/>
      <c r="D254" s="88"/>
      <c r="E254" s="89"/>
      <c r="F254" s="89"/>
      <c r="G254" s="89"/>
    </row>
    <row r="255" spans="3:7" x14ac:dyDescent="0.25">
      <c r="C255" s="67"/>
      <c r="D255" s="88"/>
      <c r="E255" s="89"/>
      <c r="F255" s="89"/>
      <c r="G255" s="89"/>
    </row>
    <row r="256" spans="3:7" x14ac:dyDescent="0.25">
      <c r="C256" s="67"/>
      <c r="D256" s="88"/>
      <c r="E256" s="89"/>
      <c r="F256" s="89"/>
      <c r="G256" s="89"/>
    </row>
    <row r="257" spans="3:7" x14ac:dyDescent="0.25">
      <c r="C257" s="67"/>
      <c r="D257" s="88"/>
      <c r="E257" s="89"/>
      <c r="F257" s="89"/>
      <c r="G257" s="89"/>
    </row>
    <row r="258" spans="3:7" x14ac:dyDescent="0.25">
      <c r="C258" s="67"/>
      <c r="D258" s="88"/>
      <c r="E258" s="89"/>
      <c r="F258" s="89"/>
      <c r="G258" s="89"/>
    </row>
    <row r="259" spans="3:7" x14ac:dyDescent="0.25">
      <c r="C259" s="67"/>
      <c r="D259" s="88"/>
      <c r="E259" s="89"/>
      <c r="F259" s="89"/>
      <c r="G259" s="89"/>
    </row>
    <row r="260" spans="3:7" x14ac:dyDescent="0.25">
      <c r="C260" s="67"/>
      <c r="D260" s="88"/>
      <c r="E260" s="89"/>
      <c r="F260" s="89"/>
      <c r="G260" s="89"/>
    </row>
    <row r="261" spans="3:7" x14ac:dyDescent="0.25">
      <c r="C261" s="67"/>
      <c r="D261" s="88"/>
      <c r="E261" s="89"/>
      <c r="F261" s="89"/>
      <c r="G261" s="89"/>
    </row>
    <row r="262" spans="3:7" x14ac:dyDescent="0.25">
      <c r="C262" s="67"/>
      <c r="D262" s="88"/>
      <c r="E262" s="89"/>
      <c r="F262" s="89"/>
      <c r="G262" s="89"/>
    </row>
    <row r="263" spans="3:7" x14ac:dyDescent="0.25">
      <c r="C263" s="67"/>
      <c r="D263" s="88"/>
      <c r="E263" s="89"/>
      <c r="F263" s="89"/>
      <c r="G263" s="89"/>
    </row>
    <row r="264" spans="3:7" x14ac:dyDescent="0.25">
      <c r="C264" s="67"/>
      <c r="D264" s="88"/>
      <c r="E264" s="89"/>
      <c r="F264" s="89"/>
      <c r="G264" s="89"/>
    </row>
    <row r="265" spans="3:7" x14ac:dyDescent="0.25">
      <c r="C265" s="67"/>
      <c r="D265" s="88"/>
      <c r="E265" s="89"/>
      <c r="F265" s="89"/>
      <c r="G265" s="89"/>
    </row>
    <row r="266" spans="3:7" x14ac:dyDescent="0.25">
      <c r="C266" s="67"/>
      <c r="D266" s="88"/>
      <c r="E266" s="89"/>
      <c r="F266" s="89"/>
      <c r="G266" s="89"/>
    </row>
    <row r="267" spans="3:7" x14ac:dyDescent="0.25">
      <c r="C267" s="67"/>
      <c r="D267" s="88"/>
      <c r="E267" s="89"/>
      <c r="F267" s="89"/>
      <c r="G267" s="89"/>
    </row>
    <row r="268" spans="3:7" x14ac:dyDescent="0.25">
      <c r="C268" s="67"/>
      <c r="D268" s="88"/>
      <c r="E268" s="89"/>
      <c r="F268" s="89"/>
      <c r="G268" s="89"/>
    </row>
    <row r="269" spans="3:7" x14ac:dyDescent="0.25">
      <c r="C269" s="67"/>
      <c r="D269" s="88"/>
      <c r="E269" s="89"/>
      <c r="F269" s="89"/>
      <c r="G269" s="89"/>
    </row>
    <row r="270" spans="3:7" x14ac:dyDescent="0.25">
      <c r="C270" s="67"/>
      <c r="D270" s="88"/>
      <c r="E270" s="89"/>
      <c r="F270" s="89"/>
      <c r="G270" s="89"/>
    </row>
    <row r="271" spans="3:7" x14ac:dyDescent="0.25">
      <c r="C271" s="67"/>
      <c r="D271" s="88"/>
      <c r="E271" s="89"/>
      <c r="F271" s="89"/>
      <c r="G271" s="89"/>
    </row>
    <row r="272" spans="3:7" x14ac:dyDescent="0.25">
      <c r="C272" s="67"/>
      <c r="D272" s="88"/>
      <c r="E272" s="89"/>
      <c r="F272" s="89"/>
      <c r="G272" s="89"/>
    </row>
    <row r="273" spans="3:7" x14ac:dyDescent="0.25">
      <c r="C273" s="67"/>
      <c r="D273" s="88"/>
      <c r="E273" s="89"/>
      <c r="F273" s="89"/>
      <c r="G273" s="89"/>
    </row>
    <row r="274" spans="3:7" x14ac:dyDescent="0.25">
      <c r="C274" s="67"/>
      <c r="D274" s="88"/>
      <c r="E274" s="89"/>
      <c r="F274" s="89"/>
      <c r="G274" s="89"/>
    </row>
    <row r="275" spans="3:7" x14ac:dyDescent="0.25">
      <c r="C275" s="67"/>
      <c r="D275" s="88"/>
      <c r="E275" s="89"/>
      <c r="F275" s="89"/>
      <c r="G275" s="89"/>
    </row>
    <row r="276" spans="3:7" x14ac:dyDescent="0.25">
      <c r="C276" s="67"/>
      <c r="D276" s="88"/>
      <c r="E276" s="89"/>
      <c r="F276" s="89"/>
      <c r="G276" s="89"/>
    </row>
    <row r="277" spans="3:7" x14ac:dyDescent="0.25">
      <c r="C277" s="67"/>
      <c r="D277" s="88"/>
      <c r="E277" s="89"/>
      <c r="F277" s="89"/>
      <c r="G277" s="89"/>
    </row>
    <row r="278" spans="3:7" x14ac:dyDescent="0.25">
      <c r="C278" s="67"/>
      <c r="D278" s="88"/>
      <c r="E278" s="89"/>
      <c r="F278" s="89"/>
      <c r="G278" s="89"/>
    </row>
    <row r="279" spans="3:7" x14ac:dyDescent="0.25">
      <c r="C279" s="67"/>
      <c r="D279" s="88"/>
      <c r="E279" s="89"/>
      <c r="F279" s="89"/>
      <c r="G279" s="89"/>
    </row>
    <row r="280" spans="3:7" x14ac:dyDescent="0.25">
      <c r="C280" s="67"/>
      <c r="D280" s="88"/>
      <c r="E280" s="89"/>
      <c r="F280" s="89"/>
      <c r="G280" s="89"/>
    </row>
    <row r="281" spans="3:7" x14ac:dyDescent="0.25">
      <c r="C281" s="67"/>
      <c r="D281" s="88"/>
      <c r="E281" s="89"/>
      <c r="F281" s="89"/>
      <c r="G281" s="89"/>
    </row>
    <row r="282" spans="3:7" x14ac:dyDescent="0.25">
      <c r="C282" s="67"/>
      <c r="D282" s="88"/>
      <c r="E282" s="89"/>
      <c r="F282" s="89"/>
      <c r="G282" s="89"/>
    </row>
    <row r="283" spans="3:7" x14ac:dyDescent="0.25">
      <c r="C283" s="67"/>
      <c r="D283" s="88"/>
      <c r="E283" s="89"/>
      <c r="F283" s="89"/>
      <c r="G283" s="89"/>
    </row>
    <row r="284" spans="3:7" x14ac:dyDescent="0.25">
      <c r="C284" s="67"/>
      <c r="D284" s="88"/>
      <c r="E284" s="89"/>
      <c r="F284" s="89"/>
      <c r="G284" s="89"/>
    </row>
    <row r="285" spans="3:7" x14ac:dyDescent="0.25">
      <c r="C285" s="67"/>
      <c r="D285" s="88"/>
      <c r="E285" s="89"/>
      <c r="F285" s="89"/>
      <c r="G285" s="89"/>
    </row>
    <row r="286" spans="3:7" x14ac:dyDescent="0.25">
      <c r="C286" s="67"/>
      <c r="D286" s="88"/>
      <c r="E286" s="89"/>
      <c r="F286" s="89"/>
      <c r="G286" s="89"/>
    </row>
    <row r="287" spans="3:7" x14ac:dyDescent="0.25">
      <c r="C287" s="67"/>
      <c r="D287" s="88"/>
      <c r="E287" s="89"/>
      <c r="F287" s="89"/>
      <c r="G287" s="89"/>
    </row>
    <row r="288" spans="3:7" x14ac:dyDescent="0.25">
      <c r="C288" s="67"/>
      <c r="D288" s="88"/>
      <c r="E288" s="89"/>
      <c r="F288" s="89"/>
      <c r="G288" s="89"/>
    </row>
    <row r="289" spans="3:7" x14ac:dyDescent="0.25">
      <c r="C289" s="67"/>
      <c r="D289" s="88"/>
      <c r="E289" s="89"/>
      <c r="F289" s="89"/>
      <c r="G289" s="89"/>
    </row>
    <row r="290" spans="3:7" x14ac:dyDescent="0.25">
      <c r="C290" s="67"/>
      <c r="D290" s="88"/>
      <c r="E290" s="89"/>
      <c r="F290" s="89"/>
      <c r="G290" s="89"/>
    </row>
    <row r="291" spans="3:7" x14ac:dyDescent="0.25">
      <c r="C291" s="67"/>
      <c r="D291" s="88"/>
      <c r="E291" s="89"/>
      <c r="F291" s="89"/>
      <c r="G291" s="89"/>
    </row>
    <row r="292" spans="3:7" x14ac:dyDescent="0.25">
      <c r="C292" s="67"/>
      <c r="D292" s="88"/>
      <c r="E292" s="89"/>
      <c r="F292" s="89"/>
      <c r="G292" s="89"/>
    </row>
    <row r="293" spans="3:7" x14ac:dyDescent="0.25">
      <c r="C293" s="67"/>
      <c r="D293" s="88"/>
      <c r="E293" s="89"/>
      <c r="F293" s="89"/>
      <c r="G293" s="89"/>
    </row>
    <row r="294" spans="3:7" x14ac:dyDescent="0.25">
      <c r="C294" s="67"/>
      <c r="D294" s="88"/>
      <c r="E294" s="89"/>
      <c r="F294" s="89"/>
      <c r="G294" s="89"/>
    </row>
    <row r="295" spans="3:7" x14ac:dyDescent="0.25">
      <c r="C295" s="67"/>
      <c r="D295" s="88"/>
      <c r="E295" s="89"/>
      <c r="F295" s="89"/>
      <c r="G295" s="89"/>
    </row>
    <row r="296" spans="3:7" x14ac:dyDescent="0.25">
      <c r="C296" s="67"/>
      <c r="D296" s="88"/>
      <c r="E296" s="89"/>
      <c r="F296" s="89"/>
      <c r="G296" s="89"/>
    </row>
    <row r="297" spans="3:7" x14ac:dyDescent="0.25">
      <c r="C297" s="67"/>
      <c r="D297" s="88"/>
      <c r="E297" s="89"/>
      <c r="F297" s="89"/>
      <c r="G297" s="89"/>
    </row>
    <row r="298" spans="3:7" x14ac:dyDescent="0.25">
      <c r="C298" s="67"/>
      <c r="D298" s="88"/>
      <c r="E298" s="89"/>
      <c r="F298" s="89"/>
      <c r="G298" s="89"/>
    </row>
    <row r="299" spans="3:7" x14ac:dyDescent="0.25">
      <c r="C299" s="67"/>
      <c r="D299" s="88"/>
      <c r="E299" s="89"/>
      <c r="F299" s="89"/>
      <c r="G299" s="89"/>
    </row>
    <row r="300" spans="3:7" x14ac:dyDescent="0.25">
      <c r="C300" s="67"/>
      <c r="D300" s="88"/>
      <c r="E300" s="89"/>
      <c r="F300" s="89"/>
      <c r="G300" s="89"/>
    </row>
    <row r="301" spans="3:7" x14ac:dyDescent="0.25">
      <c r="C301" s="67"/>
      <c r="D301" s="88"/>
      <c r="E301" s="89"/>
      <c r="F301" s="89"/>
      <c r="G301" s="89"/>
    </row>
    <row r="302" spans="3:7" x14ac:dyDescent="0.25">
      <c r="C302" s="67"/>
      <c r="D302" s="88"/>
      <c r="E302" s="89"/>
      <c r="F302" s="89"/>
      <c r="G302" s="89"/>
    </row>
    <row r="303" spans="3:7" x14ac:dyDescent="0.25">
      <c r="C303" s="67"/>
      <c r="D303" s="88"/>
      <c r="E303" s="89"/>
      <c r="F303" s="89"/>
      <c r="G303" s="89"/>
    </row>
    <row r="304" spans="3:7" x14ac:dyDescent="0.25">
      <c r="C304" s="67"/>
      <c r="D304" s="88"/>
      <c r="E304" s="89"/>
      <c r="F304" s="89"/>
      <c r="G304" s="89"/>
    </row>
    <row r="305" spans="3:7" x14ac:dyDescent="0.25">
      <c r="C305" s="67"/>
      <c r="D305" s="88"/>
      <c r="E305" s="89"/>
      <c r="F305" s="89"/>
      <c r="G305" s="89"/>
    </row>
    <row r="306" spans="3:7" x14ac:dyDescent="0.25">
      <c r="C306" s="67"/>
      <c r="D306" s="88"/>
      <c r="E306" s="89"/>
      <c r="F306" s="89"/>
      <c r="G306" s="89"/>
    </row>
    <row r="307" spans="3:7" x14ac:dyDescent="0.25">
      <c r="C307" s="67"/>
      <c r="D307" s="88"/>
      <c r="E307" s="89"/>
      <c r="F307" s="89"/>
      <c r="G307" s="89"/>
    </row>
    <row r="308" spans="3:7" x14ac:dyDescent="0.25">
      <c r="C308" s="67"/>
      <c r="D308" s="88"/>
      <c r="E308" s="89"/>
      <c r="F308" s="89"/>
      <c r="G308" s="89"/>
    </row>
    <row r="309" spans="3:7" x14ac:dyDescent="0.25">
      <c r="C309" s="67"/>
      <c r="D309" s="88"/>
      <c r="E309" s="89"/>
      <c r="F309" s="89"/>
      <c r="G309" s="89"/>
    </row>
    <row r="310" spans="3:7" x14ac:dyDescent="0.25">
      <c r="C310" s="67"/>
      <c r="D310" s="88"/>
      <c r="E310" s="89"/>
      <c r="F310" s="89"/>
      <c r="G310" s="89"/>
    </row>
    <row r="311" spans="3:7" x14ac:dyDescent="0.25">
      <c r="C311" s="67"/>
      <c r="D311" s="88"/>
      <c r="E311" s="89"/>
      <c r="F311" s="89"/>
      <c r="G311" s="89"/>
    </row>
    <row r="312" spans="3:7" x14ac:dyDescent="0.25">
      <c r="C312" s="67"/>
      <c r="D312" s="88"/>
      <c r="E312" s="89"/>
      <c r="F312" s="89"/>
      <c r="G312" s="89"/>
    </row>
    <row r="313" spans="3:7" x14ac:dyDescent="0.25">
      <c r="C313" s="67"/>
      <c r="D313" s="88"/>
      <c r="E313" s="89"/>
      <c r="F313" s="89"/>
      <c r="G313" s="89"/>
    </row>
    <row r="314" spans="3:7" x14ac:dyDescent="0.25">
      <c r="C314" s="67"/>
      <c r="D314" s="88"/>
      <c r="E314" s="89"/>
      <c r="F314" s="89"/>
      <c r="G314" s="89"/>
    </row>
    <row r="315" spans="3:7" x14ac:dyDescent="0.25">
      <c r="C315" s="67"/>
      <c r="D315" s="88"/>
      <c r="E315" s="89"/>
      <c r="F315" s="89"/>
      <c r="G315" s="89"/>
    </row>
    <row r="316" spans="3:7" x14ac:dyDescent="0.25">
      <c r="C316" s="67"/>
      <c r="D316" s="88"/>
      <c r="E316" s="89"/>
      <c r="F316" s="89"/>
      <c r="G316" s="89"/>
    </row>
    <row r="317" spans="3:7" x14ac:dyDescent="0.25">
      <c r="C317" s="67"/>
      <c r="D317" s="88"/>
      <c r="E317" s="89"/>
      <c r="F317" s="89"/>
      <c r="G317" s="89"/>
    </row>
    <row r="318" spans="3:7" x14ac:dyDescent="0.25">
      <c r="C318" s="67"/>
      <c r="D318" s="88"/>
      <c r="E318" s="89"/>
      <c r="F318" s="89"/>
      <c r="G318" s="89"/>
    </row>
    <row r="319" spans="3:7" x14ac:dyDescent="0.25">
      <c r="C319" s="67"/>
      <c r="D319" s="88"/>
      <c r="E319" s="89"/>
      <c r="F319" s="89"/>
      <c r="G319" s="89"/>
    </row>
    <row r="320" spans="3:7" x14ac:dyDescent="0.25">
      <c r="C320" s="67"/>
      <c r="D320" s="88"/>
      <c r="E320" s="89"/>
      <c r="F320" s="89"/>
      <c r="G320" s="89"/>
    </row>
    <row r="321" spans="3:7" x14ac:dyDescent="0.25">
      <c r="C321" s="67"/>
      <c r="D321" s="88"/>
      <c r="E321" s="89"/>
      <c r="F321" s="89"/>
      <c r="G321" s="89"/>
    </row>
    <row r="322" spans="3:7" x14ac:dyDescent="0.25">
      <c r="C322" s="67"/>
      <c r="D322" s="88"/>
      <c r="E322" s="89"/>
      <c r="F322" s="89"/>
      <c r="G322" s="89"/>
    </row>
    <row r="323" spans="3:7" x14ac:dyDescent="0.25">
      <c r="C323" s="67"/>
      <c r="D323" s="88"/>
      <c r="E323" s="89"/>
      <c r="F323" s="89"/>
      <c r="G323" s="89"/>
    </row>
    <row r="324" spans="3:7" x14ac:dyDescent="0.25">
      <c r="C324" s="67"/>
      <c r="D324" s="88"/>
      <c r="E324" s="89"/>
      <c r="F324" s="89"/>
      <c r="G324" s="89"/>
    </row>
    <row r="325" spans="3:7" x14ac:dyDescent="0.25">
      <c r="C325" s="67"/>
      <c r="D325" s="88"/>
      <c r="E325" s="89"/>
      <c r="F325" s="89"/>
      <c r="G325" s="89"/>
    </row>
    <row r="326" spans="3:7" x14ac:dyDescent="0.25">
      <c r="C326" s="67"/>
      <c r="D326" s="88"/>
      <c r="E326" s="89"/>
      <c r="F326" s="89"/>
      <c r="G326" s="89"/>
    </row>
    <row r="327" spans="3:7" x14ac:dyDescent="0.25">
      <c r="C327" s="67"/>
      <c r="D327" s="88"/>
      <c r="E327" s="89"/>
      <c r="F327" s="89"/>
      <c r="G327" s="89"/>
    </row>
    <row r="328" spans="3:7" x14ac:dyDescent="0.25">
      <c r="C328" s="67"/>
      <c r="D328" s="88"/>
      <c r="E328" s="89"/>
      <c r="F328" s="89"/>
      <c r="G328" s="89"/>
    </row>
    <row r="329" spans="3:7" x14ac:dyDescent="0.25">
      <c r="C329" s="67"/>
      <c r="D329" s="88"/>
      <c r="E329" s="89"/>
      <c r="F329" s="89"/>
      <c r="G329" s="89"/>
    </row>
    <row r="330" spans="3:7" x14ac:dyDescent="0.25">
      <c r="C330" s="67"/>
      <c r="D330" s="88"/>
      <c r="E330" s="89"/>
      <c r="F330" s="89"/>
      <c r="G330" s="89"/>
    </row>
    <row r="331" spans="3:7" x14ac:dyDescent="0.25">
      <c r="C331" s="67"/>
      <c r="D331" s="88"/>
      <c r="E331" s="89"/>
      <c r="F331" s="89"/>
      <c r="G331" s="89"/>
    </row>
    <row r="332" spans="3:7" x14ac:dyDescent="0.25">
      <c r="C332" s="67"/>
      <c r="D332" s="88"/>
      <c r="E332" s="89"/>
      <c r="F332" s="89"/>
      <c r="G332" s="89"/>
    </row>
    <row r="333" spans="3:7" x14ac:dyDescent="0.25">
      <c r="C333" s="67"/>
      <c r="D333" s="88"/>
      <c r="E333" s="89"/>
      <c r="F333" s="89"/>
      <c r="G333" s="89"/>
    </row>
    <row r="334" spans="3:7" x14ac:dyDescent="0.25">
      <c r="C334" s="67"/>
      <c r="D334" s="88"/>
      <c r="E334" s="89"/>
      <c r="F334" s="89"/>
      <c r="G334" s="89"/>
    </row>
    <row r="335" spans="3:7" x14ac:dyDescent="0.25">
      <c r="C335" s="67"/>
      <c r="D335" s="88"/>
      <c r="E335" s="89"/>
      <c r="F335" s="89"/>
      <c r="G335" s="89"/>
    </row>
    <row r="336" spans="3:7" x14ac:dyDescent="0.25">
      <c r="C336" s="67"/>
      <c r="D336" s="88"/>
      <c r="E336" s="89"/>
      <c r="F336" s="89"/>
      <c r="G336" s="89"/>
    </row>
    <row r="337" spans="3:7" x14ac:dyDescent="0.25">
      <c r="C337" s="67"/>
      <c r="D337" s="88"/>
      <c r="E337" s="89"/>
      <c r="F337" s="89"/>
      <c r="G337" s="89"/>
    </row>
    <row r="338" spans="3:7" x14ac:dyDescent="0.25">
      <c r="C338" s="67"/>
      <c r="D338" s="88"/>
      <c r="E338" s="89"/>
      <c r="F338" s="89"/>
      <c r="G338" s="89"/>
    </row>
    <row r="339" spans="3:7" x14ac:dyDescent="0.25">
      <c r="C339" s="67"/>
      <c r="D339" s="88"/>
      <c r="E339" s="89"/>
      <c r="F339" s="89"/>
      <c r="G339" s="89"/>
    </row>
    <row r="340" spans="3:7" x14ac:dyDescent="0.25">
      <c r="C340" s="67"/>
      <c r="D340" s="88"/>
      <c r="E340" s="89"/>
      <c r="F340" s="89"/>
      <c r="G340" s="89"/>
    </row>
    <row r="341" spans="3:7" x14ac:dyDescent="0.25">
      <c r="C341" s="67"/>
      <c r="D341" s="88"/>
      <c r="E341" s="89"/>
      <c r="F341" s="89"/>
      <c r="G341" s="89"/>
    </row>
    <row r="342" spans="3:7" x14ac:dyDescent="0.25">
      <c r="C342" s="67"/>
      <c r="D342" s="88"/>
      <c r="E342" s="89"/>
      <c r="F342" s="89"/>
      <c r="G342" s="89"/>
    </row>
    <row r="343" spans="3:7" x14ac:dyDescent="0.25">
      <c r="C343" s="67"/>
      <c r="D343" s="88"/>
      <c r="E343" s="89"/>
      <c r="F343" s="89"/>
      <c r="G343" s="89"/>
    </row>
    <row r="344" spans="3:7" x14ac:dyDescent="0.25">
      <c r="C344" s="67"/>
      <c r="D344" s="88"/>
      <c r="E344" s="89"/>
      <c r="F344" s="89"/>
      <c r="G344" s="89"/>
    </row>
    <row r="345" spans="3:7" x14ac:dyDescent="0.25">
      <c r="C345" s="67"/>
      <c r="D345" s="88"/>
      <c r="E345" s="89"/>
      <c r="F345" s="89"/>
      <c r="G345" s="89"/>
    </row>
    <row r="346" spans="3:7" x14ac:dyDescent="0.25">
      <c r="C346" s="67"/>
      <c r="D346" s="88"/>
      <c r="E346" s="89"/>
      <c r="F346" s="89"/>
      <c r="G346" s="89"/>
    </row>
    <row r="347" spans="3:7" x14ac:dyDescent="0.25">
      <c r="C347" s="67"/>
      <c r="D347" s="88"/>
      <c r="E347" s="89"/>
      <c r="F347" s="89"/>
      <c r="G347" s="89"/>
    </row>
    <row r="348" spans="3:7" x14ac:dyDescent="0.25">
      <c r="C348" s="67"/>
      <c r="D348" s="88"/>
      <c r="E348" s="89"/>
      <c r="F348" s="89"/>
      <c r="G348" s="89"/>
    </row>
    <row r="349" spans="3:7" x14ac:dyDescent="0.25">
      <c r="C349" s="67"/>
      <c r="D349" s="88"/>
      <c r="E349" s="89"/>
      <c r="F349" s="89"/>
      <c r="G349" s="89"/>
    </row>
    <row r="350" spans="3:7" x14ac:dyDescent="0.25">
      <c r="C350" s="67"/>
      <c r="D350" s="88"/>
      <c r="E350" s="89"/>
      <c r="F350" s="89"/>
      <c r="G350" s="89"/>
    </row>
    <row r="351" spans="3:7" x14ac:dyDescent="0.25">
      <c r="C351" s="67"/>
      <c r="D351" s="88"/>
      <c r="E351" s="89"/>
      <c r="F351" s="89"/>
      <c r="G351" s="89"/>
    </row>
    <row r="352" spans="3:7" x14ac:dyDescent="0.25">
      <c r="C352" s="67"/>
      <c r="D352" s="88"/>
      <c r="E352" s="89"/>
      <c r="F352" s="89"/>
      <c r="G352" s="89"/>
    </row>
    <row r="353" spans="3:7" x14ac:dyDescent="0.25">
      <c r="C353" s="67"/>
      <c r="D353" s="88"/>
      <c r="E353" s="89"/>
      <c r="F353" s="89"/>
      <c r="G353" s="89"/>
    </row>
    <row r="354" spans="3:7" x14ac:dyDescent="0.25">
      <c r="C354" s="67"/>
      <c r="D354" s="88"/>
      <c r="E354" s="89"/>
      <c r="F354" s="89"/>
      <c r="G354" s="89"/>
    </row>
    <row r="355" spans="3:7" x14ac:dyDescent="0.25">
      <c r="C355" s="67"/>
      <c r="D355" s="88"/>
      <c r="E355" s="89"/>
      <c r="F355" s="89"/>
      <c r="G355" s="89"/>
    </row>
    <row r="356" spans="3:7" x14ac:dyDescent="0.25">
      <c r="C356" s="67"/>
      <c r="D356" s="88"/>
      <c r="E356" s="89"/>
      <c r="F356" s="89"/>
      <c r="G356" s="89"/>
    </row>
    <row r="357" spans="3:7" x14ac:dyDescent="0.25">
      <c r="C357" s="67"/>
      <c r="D357" s="88"/>
      <c r="E357" s="89"/>
      <c r="F357" s="89"/>
      <c r="G357" s="89"/>
    </row>
    <row r="358" spans="3:7" x14ac:dyDescent="0.25">
      <c r="C358" s="67"/>
      <c r="D358" s="88"/>
      <c r="E358" s="89"/>
      <c r="F358" s="89"/>
      <c r="G358" s="89"/>
    </row>
    <row r="359" spans="3:7" x14ac:dyDescent="0.25">
      <c r="C359" s="67"/>
      <c r="D359" s="88"/>
      <c r="E359" s="89"/>
      <c r="F359" s="89"/>
      <c r="G359" s="89"/>
    </row>
    <row r="360" spans="3:7" x14ac:dyDescent="0.25">
      <c r="C360" s="67"/>
      <c r="D360" s="88"/>
      <c r="E360" s="89"/>
      <c r="F360" s="89"/>
      <c r="G360" s="89"/>
    </row>
    <row r="361" spans="3:7" x14ac:dyDescent="0.25">
      <c r="C361" s="67"/>
      <c r="D361" s="88"/>
      <c r="E361" s="89"/>
      <c r="F361" s="89"/>
      <c r="G361" s="89"/>
    </row>
    <row r="362" spans="3:7" x14ac:dyDescent="0.25">
      <c r="C362" s="67"/>
      <c r="D362" s="88"/>
      <c r="E362" s="89"/>
      <c r="F362" s="89"/>
      <c r="G362" s="89"/>
    </row>
    <row r="363" spans="3:7" x14ac:dyDescent="0.25">
      <c r="C363" s="67"/>
      <c r="D363" s="88"/>
      <c r="E363" s="89"/>
      <c r="F363" s="89"/>
      <c r="G363" s="89"/>
    </row>
    <row r="364" spans="3:7" x14ac:dyDescent="0.25">
      <c r="C364" s="67"/>
      <c r="D364" s="88"/>
      <c r="E364" s="89"/>
      <c r="F364" s="89"/>
      <c r="G364" s="89"/>
    </row>
    <row r="365" spans="3:7" x14ac:dyDescent="0.25">
      <c r="C365" s="67"/>
      <c r="D365" s="88"/>
      <c r="E365" s="89"/>
      <c r="F365" s="89"/>
      <c r="G365" s="89"/>
    </row>
    <row r="366" spans="3:7" x14ac:dyDescent="0.25">
      <c r="C366" s="67"/>
      <c r="D366" s="88"/>
      <c r="E366" s="89"/>
      <c r="F366" s="89"/>
      <c r="G366" s="89"/>
    </row>
    <row r="367" spans="3:7" x14ac:dyDescent="0.25">
      <c r="C367" s="67"/>
      <c r="D367" s="88"/>
      <c r="E367" s="89"/>
      <c r="F367" s="89"/>
      <c r="G367" s="89"/>
    </row>
    <row r="368" spans="3:7" x14ac:dyDescent="0.25">
      <c r="C368" s="67"/>
      <c r="D368" s="88"/>
      <c r="E368" s="89"/>
      <c r="F368" s="89"/>
      <c r="G368" s="89"/>
    </row>
    <row r="369" spans="3:7" x14ac:dyDescent="0.25">
      <c r="C369" s="67"/>
      <c r="D369" s="88"/>
      <c r="E369" s="89"/>
      <c r="F369" s="89"/>
      <c r="G369" s="89"/>
    </row>
    <row r="370" spans="3:7" x14ac:dyDescent="0.25">
      <c r="C370" s="67"/>
      <c r="D370" s="88"/>
      <c r="E370" s="89"/>
      <c r="F370" s="89"/>
      <c r="G370" s="89"/>
    </row>
    <row r="371" spans="3:7" x14ac:dyDescent="0.25">
      <c r="C371" s="67"/>
      <c r="D371" s="88"/>
      <c r="E371" s="89"/>
      <c r="F371" s="89"/>
      <c r="G371" s="89"/>
    </row>
    <row r="372" spans="3:7" x14ac:dyDescent="0.25">
      <c r="C372" s="67"/>
      <c r="D372" s="88"/>
      <c r="E372" s="89"/>
      <c r="F372" s="89"/>
      <c r="G372" s="89"/>
    </row>
    <row r="373" spans="3:7" x14ac:dyDescent="0.25">
      <c r="C373" s="67"/>
      <c r="D373" s="88"/>
      <c r="E373" s="89"/>
      <c r="F373" s="89"/>
      <c r="G373" s="89"/>
    </row>
    <row r="374" spans="3:7" x14ac:dyDescent="0.25">
      <c r="C374" s="67"/>
      <c r="D374" s="88"/>
      <c r="E374" s="89"/>
      <c r="F374" s="89"/>
      <c r="G374" s="89"/>
    </row>
    <row r="375" spans="3:7" x14ac:dyDescent="0.25">
      <c r="C375" s="67"/>
      <c r="D375" s="88"/>
      <c r="E375" s="89"/>
      <c r="F375" s="89"/>
      <c r="G375" s="89"/>
    </row>
    <row r="376" spans="3:7" x14ac:dyDescent="0.25">
      <c r="C376" s="67"/>
      <c r="D376" s="88"/>
      <c r="E376" s="89"/>
      <c r="F376" s="89"/>
      <c r="G376" s="89"/>
    </row>
    <row r="377" spans="3:7" x14ac:dyDescent="0.25">
      <c r="C377" s="67"/>
      <c r="D377" s="88"/>
      <c r="E377" s="89"/>
      <c r="F377" s="89"/>
      <c r="G377" s="89"/>
    </row>
    <row r="378" spans="3:7" x14ac:dyDescent="0.25">
      <c r="C378" s="67"/>
      <c r="D378" s="88"/>
      <c r="E378" s="89"/>
      <c r="F378" s="89"/>
      <c r="G378" s="89"/>
    </row>
    <row r="379" spans="3:7" x14ac:dyDescent="0.25">
      <c r="C379" s="67"/>
      <c r="D379" s="88"/>
      <c r="E379" s="89"/>
      <c r="F379" s="89"/>
      <c r="G379" s="89"/>
    </row>
    <row r="380" spans="3:7" x14ac:dyDescent="0.25">
      <c r="C380" s="67"/>
      <c r="D380" s="88"/>
      <c r="E380" s="89"/>
      <c r="F380" s="89"/>
      <c r="G380" s="89"/>
    </row>
    <row r="381" spans="3:7" x14ac:dyDescent="0.25">
      <c r="C381" s="67"/>
      <c r="D381" s="88"/>
      <c r="E381" s="89"/>
      <c r="F381" s="89"/>
      <c r="G381" s="89"/>
    </row>
    <row r="382" spans="3:7" x14ac:dyDescent="0.25">
      <c r="C382" s="67"/>
      <c r="D382" s="88"/>
      <c r="E382" s="89"/>
      <c r="F382" s="89"/>
      <c r="G382" s="89"/>
    </row>
    <row r="383" spans="3:7" x14ac:dyDescent="0.25">
      <c r="C383" s="67"/>
      <c r="D383" s="88"/>
      <c r="E383" s="89"/>
      <c r="F383" s="89"/>
      <c r="G383" s="89"/>
    </row>
    <row r="384" spans="3:7" x14ac:dyDescent="0.25">
      <c r="C384" s="67"/>
      <c r="D384" s="88"/>
      <c r="E384" s="89"/>
      <c r="F384" s="89"/>
      <c r="G384" s="89"/>
    </row>
    <row r="385" spans="3:7" x14ac:dyDescent="0.25">
      <c r="C385" s="67"/>
      <c r="D385" s="88"/>
      <c r="E385" s="89"/>
      <c r="F385" s="89"/>
      <c r="G385" s="89"/>
    </row>
    <row r="386" spans="3:7" x14ac:dyDescent="0.25">
      <c r="C386" s="67"/>
      <c r="D386" s="88"/>
      <c r="E386" s="89"/>
      <c r="F386" s="89"/>
      <c r="G386" s="89"/>
    </row>
    <row r="387" spans="3:7" x14ac:dyDescent="0.25">
      <c r="C387" s="67"/>
      <c r="D387" s="88"/>
      <c r="E387" s="89"/>
      <c r="F387" s="89"/>
      <c r="G387" s="89"/>
    </row>
    <row r="388" spans="3:7" x14ac:dyDescent="0.25">
      <c r="C388" s="67"/>
      <c r="D388" s="88"/>
      <c r="E388" s="89"/>
      <c r="F388" s="89"/>
      <c r="G388" s="89"/>
    </row>
    <row r="389" spans="3:7" x14ac:dyDescent="0.25">
      <c r="C389" s="67"/>
      <c r="D389" s="88"/>
      <c r="E389" s="89"/>
      <c r="F389" s="89"/>
      <c r="G389" s="89"/>
    </row>
    <row r="390" spans="3:7" x14ac:dyDescent="0.25">
      <c r="C390" s="67"/>
      <c r="D390" s="88"/>
      <c r="E390" s="89"/>
      <c r="F390" s="89"/>
      <c r="G390" s="89"/>
    </row>
    <row r="391" spans="3:7" x14ac:dyDescent="0.25">
      <c r="C391" s="67"/>
      <c r="D391" s="88"/>
      <c r="E391" s="89"/>
      <c r="F391" s="89"/>
      <c r="G391" s="89"/>
    </row>
    <row r="392" spans="3:7" x14ac:dyDescent="0.25">
      <c r="C392" s="67"/>
      <c r="D392" s="88"/>
      <c r="E392" s="89"/>
      <c r="F392" s="89"/>
      <c r="G392" s="89"/>
    </row>
    <row r="393" spans="3:7" x14ac:dyDescent="0.25">
      <c r="C393" s="67"/>
      <c r="D393" s="88"/>
      <c r="E393" s="89"/>
      <c r="F393" s="89"/>
      <c r="G393" s="89"/>
    </row>
    <row r="394" spans="3:7" x14ac:dyDescent="0.25">
      <c r="C394" s="67"/>
      <c r="D394" s="88"/>
      <c r="E394" s="89"/>
      <c r="F394" s="89"/>
      <c r="G394" s="89"/>
    </row>
    <row r="395" spans="3:7" x14ac:dyDescent="0.25">
      <c r="C395" s="67"/>
      <c r="D395" s="88"/>
      <c r="E395" s="89"/>
      <c r="F395" s="89"/>
      <c r="G395" s="89"/>
    </row>
    <row r="396" spans="3:7" x14ac:dyDescent="0.25">
      <c r="C396" s="67"/>
      <c r="D396" s="88"/>
      <c r="E396" s="89"/>
      <c r="F396" s="89"/>
      <c r="G396" s="89"/>
    </row>
    <row r="397" spans="3:7" x14ac:dyDescent="0.25">
      <c r="C397" s="67"/>
      <c r="D397" s="88"/>
      <c r="E397" s="89"/>
      <c r="F397" s="89"/>
      <c r="G397" s="89"/>
    </row>
    <row r="398" spans="3:7" x14ac:dyDescent="0.25">
      <c r="C398" s="67"/>
      <c r="D398" s="88"/>
      <c r="E398" s="89"/>
      <c r="F398" s="89"/>
      <c r="G398" s="89"/>
    </row>
    <row r="399" spans="3:7" x14ac:dyDescent="0.25">
      <c r="C399" s="67"/>
      <c r="D399" s="88"/>
      <c r="E399" s="89"/>
      <c r="F399" s="89"/>
      <c r="G399" s="89"/>
    </row>
    <row r="400" spans="3:7" x14ac:dyDescent="0.25">
      <c r="C400" s="67"/>
      <c r="D400" s="88"/>
      <c r="E400" s="89"/>
      <c r="F400" s="89"/>
      <c r="G400" s="89"/>
    </row>
    <row r="401" spans="3:7" x14ac:dyDescent="0.25">
      <c r="C401" s="67"/>
      <c r="D401" s="88"/>
      <c r="E401" s="89"/>
      <c r="F401" s="89"/>
      <c r="G401" s="89"/>
    </row>
    <row r="402" spans="3:7" x14ac:dyDescent="0.25">
      <c r="C402" s="67"/>
      <c r="D402" s="88"/>
      <c r="E402" s="89"/>
      <c r="F402" s="89"/>
      <c r="G402" s="89"/>
    </row>
    <row r="403" spans="3:7" x14ac:dyDescent="0.25">
      <c r="C403" s="67"/>
      <c r="D403" s="88"/>
      <c r="E403" s="89"/>
      <c r="F403" s="89"/>
      <c r="G403" s="89"/>
    </row>
    <row r="404" spans="3:7" x14ac:dyDescent="0.25">
      <c r="C404" s="67"/>
      <c r="D404" s="88"/>
      <c r="E404" s="89"/>
      <c r="F404" s="89"/>
      <c r="G404" s="89"/>
    </row>
    <row r="405" spans="3:7" x14ac:dyDescent="0.25">
      <c r="C405" s="67"/>
      <c r="D405" s="88"/>
      <c r="E405" s="89"/>
      <c r="F405" s="89"/>
      <c r="G405" s="89"/>
    </row>
    <row r="406" spans="3:7" x14ac:dyDescent="0.25">
      <c r="C406" s="67"/>
      <c r="D406" s="88"/>
      <c r="E406" s="89"/>
      <c r="F406" s="89"/>
      <c r="G406" s="89"/>
    </row>
    <row r="407" spans="3:7" x14ac:dyDescent="0.25">
      <c r="C407" s="67"/>
      <c r="D407" s="88"/>
      <c r="E407" s="89"/>
      <c r="F407" s="89"/>
      <c r="G407" s="89"/>
    </row>
    <row r="408" spans="3:7" x14ac:dyDescent="0.25">
      <c r="C408" s="67"/>
      <c r="D408" s="88"/>
      <c r="E408" s="89"/>
      <c r="F408" s="89"/>
      <c r="G408" s="89"/>
    </row>
    <row r="409" spans="3:7" x14ac:dyDescent="0.25">
      <c r="C409" s="67"/>
      <c r="D409" s="88"/>
      <c r="E409" s="89"/>
      <c r="F409" s="89"/>
      <c r="G409" s="89"/>
    </row>
    <row r="410" spans="3:7" x14ac:dyDescent="0.25">
      <c r="C410" s="67"/>
      <c r="D410" s="88"/>
      <c r="E410" s="89"/>
      <c r="F410" s="89"/>
      <c r="G410" s="89"/>
    </row>
    <row r="411" spans="3:7" x14ac:dyDescent="0.25">
      <c r="C411" s="67"/>
      <c r="D411" s="88"/>
      <c r="E411" s="89"/>
      <c r="F411" s="89"/>
      <c r="G411" s="89"/>
    </row>
    <row r="412" spans="3:7" x14ac:dyDescent="0.25">
      <c r="C412" s="67"/>
      <c r="D412" s="88"/>
      <c r="E412" s="89"/>
      <c r="F412" s="89"/>
      <c r="G412" s="89"/>
    </row>
    <row r="413" spans="3:7" x14ac:dyDescent="0.25">
      <c r="C413" s="67"/>
      <c r="D413" s="88"/>
      <c r="E413" s="89"/>
      <c r="F413" s="89"/>
      <c r="G413" s="89"/>
    </row>
    <row r="414" spans="3:7" x14ac:dyDescent="0.25">
      <c r="C414" s="67"/>
      <c r="D414" s="88"/>
      <c r="E414" s="89"/>
      <c r="F414" s="89"/>
      <c r="G414" s="89"/>
    </row>
    <row r="415" spans="3:7" x14ac:dyDescent="0.25">
      <c r="C415" s="67"/>
      <c r="D415" s="88"/>
      <c r="E415" s="89"/>
      <c r="F415" s="89"/>
      <c r="G415" s="89"/>
    </row>
    <row r="416" spans="3:7" x14ac:dyDescent="0.25">
      <c r="C416" s="67"/>
      <c r="D416" s="88"/>
      <c r="E416" s="89"/>
      <c r="F416" s="89"/>
      <c r="G416" s="89"/>
    </row>
    <row r="417" spans="3:7" x14ac:dyDescent="0.25">
      <c r="C417" s="67"/>
      <c r="D417" s="88"/>
      <c r="E417" s="89"/>
      <c r="F417" s="89"/>
      <c r="G417" s="89"/>
    </row>
    <row r="418" spans="3:7" x14ac:dyDescent="0.25">
      <c r="C418" s="67"/>
      <c r="D418" s="88"/>
      <c r="E418" s="89"/>
      <c r="F418" s="89"/>
      <c r="G418" s="89"/>
    </row>
    <row r="419" spans="3:7" x14ac:dyDescent="0.25">
      <c r="C419" s="67"/>
      <c r="D419" s="88"/>
      <c r="E419" s="89"/>
      <c r="F419" s="89"/>
      <c r="G419" s="89"/>
    </row>
    <row r="420" spans="3:7" x14ac:dyDescent="0.25">
      <c r="C420" s="67"/>
      <c r="D420" s="88"/>
      <c r="E420" s="89"/>
      <c r="F420" s="89"/>
      <c r="G420" s="89"/>
    </row>
    <row r="421" spans="3:7" x14ac:dyDescent="0.25">
      <c r="C421" s="67"/>
      <c r="D421" s="88"/>
      <c r="E421" s="89"/>
      <c r="F421" s="89"/>
      <c r="G421" s="89"/>
    </row>
    <row r="422" spans="3:7" x14ac:dyDescent="0.25">
      <c r="C422" s="67"/>
      <c r="D422" s="88"/>
      <c r="E422" s="89"/>
      <c r="F422" s="89"/>
      <c r="G422" s="89"/>
    </row>
    <row r="423" spans="3:7" x14ac:dyDescent="0.25">
      <c r="C423" s="67"/>
      <c r="D423" s="88"/>
      <c r="E423" s="89"/>
      <c r="F423" s="89"/>
      <c r="G423" s="89"/>
    </row>
    <row r="424" spans="3:7" x14ac:dyDescent="0.25">
      <c r="C424" s="67"/>
      <c r="D424" s="88"/>
      <c r="E424" s="89"/>
      <c r="F424" s="89"/>
      <c r="G424" s="89"/>
    </row>
    <row r="425" spans="3:7" x14ac:dyDescent="0.25">
      <c r="C425" s="67"/>
      <c r="D425" s="88"/>
      <c r="E425" s="89"/>
      <c r="F425" s="89"/>
      <c r="G425" s="89"/>
    </row>
    <row r="426" spans="3:7" x14ac:dyDescent="0.25">
      <c r="C426" s="67"/>
      <c r="D426" s="88"/>
      <c r="E426" s="89"/>
      <c r="F426" s="89"/>
      <c r="G426" s="89"/>
    </row>
    <row r="427" spans="3:7" x14ac:dyDescent="0.25">
      <c r="C427" s="67"/>
      <c r="D427" s="88"/>
      <c r="E427" s="89"/>
      <c r="F427" s="89"/>
      <c r="G427" s="89"/>
    </row>
    <row r="428" spans="3:7" x14ac:dyDescent="0.25">
      <c r="C428" s="67"/>
      <c r="D428" s="88"/>
      <c r="E428" s="89"/>
      <c r="F428" s="89"/>
      <c r="G428" s="89"/>
    </row>
    <row r="429" spans="3:7" x14ac:dyDescent="0.25">
      <c r="C429" s="67"/>
      <c r="D429" s="88"/>
      <c r="E429" s="89"/>
      <c r="F429" s="89"/>
      <c r="G429" s="89"/>
    </row>
    <row r="430" spans="3:7" x14ac:dyDescent="0.25">
      <c r="C430" s="67"/>
      <c r="D430" s="88"/>
      <c r="E430" s="89"/>
      <c r="F430" s="89"/>
      <c r="G430" s="89"/>
    </row>
    <row r="431" spans="3:7" x14ac:dyDescent="0.25">
      <c r="C431" s="67"/>
      <c r="D431" s="88"/>
      <c r="E431" s="89"/>
      <c r="F431" s="89"/>
      <c r="G431" s="89"/>
    </row>
    <row r="432" spans="3:7" x14ac:dyDescent="0.25">
      <c r="C432" s="67"/>
      <c r="D432" s="88"/>
      <c r="E432" s="89"/>
      <c r="F432" s="89"/>
      <c r="G432" s="89"/>
    </row>
    <row r="433" spans="3:7" x14ac:dyDescent="0.25">
      <c r="C433" s="67"/>
      <c r="D433" s="88"/>
      <c r="E433" s="89"/>
      <c r="F433" s="89"/>
      <c r="G433" s="89"/>
    </row>
    <row r="434" spans="3:7" x14ac:dyDescent="0.25">
      <c r="C434" s="67"/>
      <c r="D434" s="88"/>
      <c r="E434" s="89"/>
      <c r="F434" s="89"/>
      <c r="G434" s="89"/>
    </row>
    <row r="435" spans="3:7" x14ac:dyDescent="0.25">
      <c r="C435" s="67"/>
      <c r="D435" s="88"/>
      <c r="E435" s="89"/>
      <c r="F435" s="89"/>
      <c r="G435" s="89"/>
    </row>
    <row r="436" spans="3:7" x14ac:dyDescent="0.25">
      <c r="C436" s="67"/>
      <c r="D436" s="88"/>
      <c r="E436" s="89"/>
      <c r="F436" s="89"/>
      <c r="G436" s="89"/>
    </row>
    <row r="437" spans="3:7" x14ac:dyDescent="0.25">
      <c r="C437" s="67"/>
      <c r="D437" s="88"/>
      <c r="E437" s="89"/>
      <c r="F437" s="89"/>
      <c r="G437" s="89"/>
    </row>
    <row r="438" spans="3:7" x14ac:dyDescent="0.25">
      <c r="C438" s="67"/>
      <c r="D438" s="88"/>
      <c r="E438" s="89"/>
      <c r="F438" s="89"/>
      <c r="G438" s="89"/>
    </row>
    <row r="439" spans="3:7" x14ac:dyDescent="0.25">
      <c r="C439" s="67"/>
      <c r="D439" s="88"/>
      <c r="E439" s="89"/>
      <c r="F439" s="89"/>
      <c r="G439" s="89"/>
    </row>
    <row r="440" spans="3:7" x14ac:dyDescent="0.25">
      <c r="C440" s="67"/>
      <c r="D440" s="88"/>
      <c r="E440" s="89"/>
      <c r="F440" s="89"/>
      <c r="G440" s="89"/>
    </row>
    <row r="441" spans="3:7" x14ac:dyDescent="0.25">
      <c r="C441" s="67"/>
      <c r="D441" s="88"/>
      <c r="E441" s="89"/>
      <c r="F441" s="89"/>
      <c r="G441" s="89"/>
    </row>
    <row r="442" spans="3:7" x14ac:dyDescent="0.25">
      <c r="C442" s="67"/>
      <c r="D442" s="88"/>
      <c r="E442" s="89"/>
      <c r="F442" s="89"/>
      <c r="G442" s="89"/>
    </row>
    <row r="443" spans="3:7" x14ac:dyDescent="0.25">
      <c r="C443" s="67"/>
      <c r="D443" s="88"/>
      <c r="E443" s="89"/>
      <c r="F443" s="89"/>
      <c r="G443" s="89"/>
    </row>
    <row r="444" spans="3:7" x14ac:dyDescent="0.25">
      <c r="C444" s="67"/>
      <c r="D444" s="88"/>
      <c r="E444" s="89"/>
      <c r="F444" s="89"/>
      <c r="G444" s="89"/>
    </row>
    <row r="445" spans="3:7" x14ac:dyDescent="0.25">
      <c r="C445" s="67"/>
      <c r="D445" s="88"/>
      <c r="E445" s="89"/>
      <c r="F445" s="89"/>
      <c r="G445" s="89"/>
    </row>
    <row r="446" spans="3:7" x14ac:dyDescent="0.25">
      <c r="C446" s="67"/>
      <c r="D446" s="88"/>
      <c r="E446" s="89"/>
      <c r="F446" s="89"/>
      <c r="G446" s="89"/>
    </row>
    <row r="447" spans="3:7" x14ac:dyDescent="0.25">
      <c r="C447" s="67"/>
      <c r="D447" s="88"/>
      <c r="E447" s="89"/>
      <c r="F447" s="89"/>
      <c r="G447" s="89"/>
    </row>
    <row r="448" spans="3:7" x14ac:dyDescent="0.25">
      <c r="C448" s="67"/>
      <c r="D448" s="88"/>
      <c r="E448" s="89"/>
      <c r="F448" s="89"/>
      <c r="G448" s="89"/>
    </row>
    <row r="449" spans="3:7" x14ac:dyDescent="0.25">
      <c r="C449" s="67"/>
      <c r="D449" s="88"/>
      <c r="E449" s="89"/>
      <c r="F449" s="89"/>
      <c r="G449" s="89"/>
    </row>
    <row r="450" spans="3:7" x14ac:dyDescent="0.25">
      <c r="C450" s="67"/>
      <c r="D450" s="88"/>
      <c r="E450" s="89"/>
      <c r="F450" s="89"/>
      <c r="G450" s="89"/>
    </row>
    <row r="451" spans="3:7" x14ac:dyDescent="0.25">
      <c r="C451" s="67"/>
      <c r="D451" s="88"/>
      <c r="E451" s="89"/>
      <c r="F451" s="89"/>
      <c r="G451" s="89"/>
    </row>
    <row r="452" spans="3:7" x14ac:dyDescent="0.25">
      <c r="C452" s="67"/>
      <c r="D452" s="88"/>
      <c r="E452" s="89"/>
      <c r="F452" s="89"/>
      <c r="G452" s="89"/>
    </row>
    <row r="453" spans="3:7" x14ac:dyDescent="0.25">
      <c r="C453" s="67"/>
      <c r="D453" s="88"/>
      <c r="E453" s="89"/>
      <c r="F453" s="89"/>
      <c r="G453" s="89"/>
    </row>
    <row r="454" spans="3:7" x14ac:dyDescent="0.25">
      <c r="C454" s="67"/>
      <c r="D454" s="88"/>
      <c r="E454" s="89"/>
      <c r="F454" s="89"/>
      <c r="G454" s="89"/>
    </row>
    <row r="455" spans="3:7" x14ac:dyDescent="0.25">
      <c r="C455" s="67"/>
      <c r="D455" s="88"/>
      <c r="E455" s="89"/>
      <c r="F455" s="89"/>
      <c r="G455" s="89"/>
    </row>
    <row r="456" spans="3:7" x14ac:dyDescent="0.25">
      <c r="C456" s="67"/>
      <c r="D456" s="88"/>
      <c r="E456" s="89"/>
      <c r="F456" s="89"/>
      <c r="G456" s="89"/>
    </row>
    <row r="457" spans="3:7" x14ac:dyDescent="0.25">
      <c r="C457" s="67"/>
      <c r="D457" s="88"/>
      <c r="E457" s="89"/>
      <c r="F457" s="89"/>
      <c r="G457" s="89"/>
    </row>
    <row r="458" spans="3:7" x14ac:dyDescent="0.25">
      <c r="C458" s="67"/>
      <c r="D458" s="88"/>
      <c r="E458" s="89"/>
      <c r="F458" s="89"/>
      <c r="G458" s="89"/>
    </row>
    <row r="459" spans="3:7" x14ac:dyDescent="0.25">
      <c r="C459" s="67"/>
      <c r="D459" s="88"/>
      <c r="E459" s="89"/>
      <c r="F459" s="89"/>
      <c r="G459" s="89"/>
    </row>
    <row r="460" spans="3:7" x14ac:dyDescent="0.25">
      <c r="C460" s="67"/>
      <c r="D460" s="88"/>
      <c r="E460" s="89"/>
      <c r="F460" s="89"/>
      <c r="G460" s="89"/>
    </row>
    <row r="461" spans="3:7" x14ac:dyDescent="0.25">
      <c r="C461" s="67"/>
      <c r="D461" s="88"/>
      <c r="E461" s="89"/>
      <c r="F461" s="89"/>
      <c r="G461" s="89"/>
    </row>
    <row r="462" spans="3:7" x14ac:dyDescent="0.25">
      <c r="C462" s="67"/>
      <c r="D462" s="88"/>
      <c r="E462" s="89"/>
      <c r="F462" s="89"/>
      <c r="G462" s="89"/>
    </row>
    <row r="463" spans="3:7" x14ac:dyDescent="0.25">
      <c r="C463" s="67"/>
      <c r="D463" s="88"/>
      <c r="E463" s="89"/>
      <c r="F463" s="89"/>
      <c r="G463" s="89"/>
    </row>
    <row r="464" spans="3:7" x14ac:dyDescent="0.25">
      <c r="C464" s="67"/>
      <c r="D464" s="88"/>
      <c r="E464" s="89"/>
      <c r="F464" s="89"/>
      <c r="G464" s="89"/>
    </row>
    <row r="465" spans="3:7" x14ac:dyDescent="0.25">
      <c r="C465" s="67"/>
      <c r="D465" s="88"/>
      <c r="E465" s="89"/>
      <c r="F465" s="89"/>
      <c r="G465" s="89"/>
    </row>
    <row r="466" spans="3:7" x14ac:dyDescent="0.25">
      <c r="C466" s="67"/>
      <c r="D466" s="88"/>
      <c r="E466" s="89"/>
      <c r="F466" s="89"/>
      <c r="G466" s="89"/>
    </row>
    <row r="467" spans="3:7" x14ac:dyDescent="0.25">
      <c r="C467" s="67"/>
      <c r="D467" s="88"/>
      <c r="E467" s="89"/>
      <c r="F467" s="89"/>
      <c r="G467" s="89"/>
    </row>
    <row r="468" spans="3:7" x14ac:dyDescent="0.25">
      <c r="C468" s="67"/>
      <c r="D468" s="88"/>
      <c r="E468" s="89"/>
      <c r="F468" s="89"/>
      <c r="G468" s="89"/>
    </row>
    <row r="469" spans="3:7" x14ac:dyDescent="0.25">
      <c r="C469" s="67"/>
      <c r="D469" s="88"/>
      <c r="E469" s="89"/>
      <c r="F469" s="89"/>
      <c r="G469" s="89"/>
    </row>
    <row r="470" spans="3:7" x14ac:dyDescent="0.25">
      <c r="C470" s="67"/>
      <c r="D470" s="88"/>
      <c r="E470" s="89"/>
      <c r="F470" s="89"/>
      <c r="G470" s="89"/>
    </row>
    <row r="471" spans="3:7" x14ac:dyDescent="0.25">
      <c r="C471" s="67"/>
      <c r="D471" s="88"/>
      <c r="E471" s="89"/>
      <c r="F471" s="89"/>
      <c r="G471" s="89"/>
    </row>
    <row r="472" spans="3:7" x14ac:dyDescent="0.25">
      <c r="C472" s="67"/>
      <c r="D472" s="88"/>
      <c r="E472" s="89"/>
      <c r="F472" s="89"/>
      <c r="G472" s="89"/>
    </row>
    <row r="473" spans="3:7" x14ac:dyDescent="0.25">
      <c r="C473" s="67"/>
      <c r="D473" s="88"/>
      <c r="E473" s="89"/>
      <c r="F473" s="89"/>
      <c r="G473" s="89"/>
    </row>
    <row r="474" spans="3:7" x14ac:dyDescent="0.25">
      <c r="C474" s="67"/>
      <c r="D474" s="88"/>
      <c r="E474" s="89"/>
      <c r="F474" s="89"/>
      <c r="G474" s="89"/>
    </row>
    <row r="475" spans="3:7" x14ac:dyDescent="0.25">
      <c r="C475" s="67"/>
      <c r="D475" s="88"/>
      <c r="E475" s="89"/>
      <c r="F475" s="89"/>
      <c r="G475" s="89"/>
    </row>
    <row r="476" spans="3:7" x14ac:dyDescent="0.25">
      <c r="C476" s="67"/>
      <c r="D476" s="88"/>
      <c r="E476" s="89"/>
      <c r="F476" s="89"/>
      <c r="G476" s="89"/>
    </row>
    <row r="477" spans="3:7" x14ac:dyDescent="0.25">
      <c r="C477" s="67"/>
      <c r="D477" s="88"/>
      <c r="E477" s="89"/>
      <c r="F477" s="89"/>
      <c r="G477" s="89"/>
    </row>
    <row r="478" spans="3:7" x14ac:dyDescent="0.25">
      <c r="C478" s="67"/>
      <c r="D478" s="88"/>
      <c r="E478" s="89"/>
      <c r="F478" s="89"/>
      <c r="G478" s="89"/>
    </row>
    <row r="479" spans="3:7" x14ac:dyDescent="0.25">
      <c r="C479" s="67"/>
      <c r="D479" s="88"/>
      <c r="E479" s="89"/>
      <c r="F479" s="89"/>
      <c r="G479" s="89"/>
    </row>
    <row r="480" spans="3:7" x14ac:dyDescent="0.25">
      <c r="C480" s="67"/>
      <c r="D480" s="88"/>
      <c r="E480" s="89"/>
      <c r="F480" s="89"/>
      <c r="G480" s="89"/>
    </row>
    <row r="481" spans="3:7" x14ac:dyDescent="0.25">
      <c r="C481" s="67"/>
      <c r="D481" s="88"/>
      <c r="E481" s="89"/>
      <c r="F481" s="89"/>
      <c r="G481" s="89"/>
    </row>
    <row r="482" spans="3:7" x14ac:dyDescent="0.25">
      <c r="C482" s="67"/>
      <c r="D482" s="88"/>
      <c r="E482" s="89"/>
      <c r="F482" s="89"/>
      <c r="G482" s="89"/>
    </row>
    <row r="483" spans="3:7" x14ac:dyDescent="0.25">
      <c r="C483" s="67"/>
      <c r="D483" s="88"/>
      <c r="E483" s="89"/>
      <c r="F483" s="89"/>
      <c r="G483" s="89"/>
    </row>
    <row r="484" spans="3:7" x14ac:dyDescent="0.25">
      <c r="C484" s="67"/>
      <c r="D484" s="88"/>
      <c r="E484" s="89"/>
      <c r="F484" s="89"/>
      <c r="G484" s="89"/>
    </row>
    <row r="485" spans="3:7" x14ac:dyDescent="0.25">
      <c r="C485" s="67"/>
      <c r="D485" s="88"/>
      <c r="E485" s="89"/>
      <c r="F485" s="89"/>
      <c r="G485" s="89"/>
    </row>
    <row r="486" spans="3:7" x14ac:dyDescent="0.25">
      <c r="C486" s="67"/>
      <c r="D486" s="88"/>
      <c r="E486" s="89"/>
      <c r="F486" s="89"/>
      <c r="G486" s="89"/>
    </row>
    <row r="487" spans="3:7" x14ac:dyDescent="0.25">
      <c r="C487" s="67"/>
      <c r="D487" s="88"/>
      <c r="E487" s="89"/>
      <c r="F487" s="89"/>
      <c r="G487" s="89"/>
    </row>
    <row r="488" spans="3:7" x14ac:dyDescent="0.25">
      <c r="C488" s="67"/>
      <c r="D488" s="88"/>
      <c r="E488" s="89"/>
      <c r="F488" s="89"/>
      <c r="G488" s="89"/>
    </row>
    <row r="489" spans="3:7" x14ac:dyDescent="0.25">
      <c r="C489" s="67"/>
      <c r="D489" s="88"/>
      <c r="E489" s="89"/>
      <c r="F489" s="89"/>
      <c r="G489" s="89"/>
    </row>
    <row r="490" spans="3:7" x14ac:dyDescent="0.25">
      <c r="C490" s="67"/>
      <c r="D490" s="88"/>
      <c r="E490" s="89"/>
      <c r="F490" s="89"/>
      <c r="G490" s="89"/>
    </row>
    <row r="491" spans="3:7" x14ac:dyDescent="0.25">
      <c r="C491" s="67"/>
      <c r="D491" s="88"/>
      <c r="E491" s="89"/>
      <c r="F491" s="89"/>
      <c r="G491" s="89"/>
    </row>
    <row r="492" spans="3:7" x14ac:dyDescent="0.25">
      <c r="C492" s="67"/>
      <c r="D492" s="88"/>
      <c r="E492" s="89"/>
      <c r="F492" s="89"/>
      <c r="G492" s="89"/>
    </row>
    <row r="493" spans="3:7" x14ac:dyDescent="0.25">
      <c r="C493" s="67"/>
      <c r="D493" s="88"/>
      <c r="E493" s="89"/>
      <c r="F493" s="89"/>
      <c r="G493" s="89"/>
    </row>
    <row r="494" spans="3:7" x14ac:dyDescent="0.25">
      <c r="C494" s="67"/>
      <c r="D494" s="88"/>
      <c r="E494" s="89"/>
      <c r="F494" s="89"/>
      <c r="G494" s="89"/>
    </row>
    <row r="495" spans="3:7" x14ac:dyDescent="0.25">
      <c r="C495" s="67"/>
      <c r="D495" s="88"/>
      <c r="E495" s="89"/>
      <c r="F495" s="89"/>
      <c r="G495" s="89"/>
    </row>
    <row r="496" spans="3:7" x14ac:dyDescent="0.25">
      <c r="C496" s="67"/>
      <c r="D496" s="88"/>
      <c r="E496" s="89"/>
      <c r="F496" s="89"/>
      <c r="G496" s="89"/>
    </row>
    <row r="497" spans="3:7" x14ac:dyDescent="0.25">
      <c r="C497" s="67"/>
      <c r="D497" s="88"/>
      <c r="E497" s="89"/>
      <c r="F497" s="89"/>
      <c r="G497" s="89"/>
    </row>
    <row r="498" spans="3:7" x14ac:dyDescent="0.25">
      <c r="C498" s="67"/>
      <c r="D498" s="88"/>
      <c r="E498" s="89"/>
      <c r="F498" s="89"/>
      <c r="G498" s="89"/>
    </row>
    <row r="499" spans="3:7" x14ac:dyDescent="0.25">
      <c r="C499" s="67"/>
      <c r="D499" s="88"/>
      <c r="E499" s="89"/>
      <c r="F499" s="89"/>
      <c r="G499" s="89"/>
    </row>
    <row r="500" spans="3:7" x14ac:dyDescent="0.25">
      <c r="C500" s="67"/>
      <c r="D500" s="88"/>
      <c r="E500" s="89"/>
      <c r="F500" s="89"/>
      <c r="G500" s="89"/>
    </row>
    <row r="501" spans="3:7" x14ac:dyDescent="0.25">
      <c r="C501" s="67"/>
      <c r="D501" s="88"/>
      <c r="E501" s="89"/>
      <c r="F501" s="89"/>
      <c r="G501" s="89"/>
    </row>
    <row r="502" spans="3:7" x14ac:dyDescent="0.25">
      <c r="C502" s="67"/>
      <c r="D502" s="88"/>
      <c r="E502" s="89"/>
      <c r="F502" s="89"/>
      <c r="G502" s="89"/>
    </row>
    <row r="503" spans="3:7" x14ac:dyDescent="0.25">
      <c r="C503" s="67"/>
      <c r="D503" s="88"/>
      <c r="E503" s="89"/>
      <c r="F503" s="89"/>
      <c r="G503" s="89"/>
    </row>
    <row r="504" spans="3:7" x14ac:dyDescent="0.25">
      <c r="C504" s="67"/>
      <c r="D504" s="88"/>
      <c r="E504" s="89"/>
      <c r="F504" s="89"/>
      <c r="G504" s="89"/>
    </row>
    <row r="505" spans="3:7" x14ac:dyDescent="0.25">
      <c r="C505" s="67"/>
      <c r="D505" s="88"/>
      <c r="E505" s="89"/>
      <c r="F505" s="89"/>
      <c r="G505" s="89"/>
    </row>
    <row r="506" spans="3:7" x14ac:dyDescent="0.25">
      <c r="C506" s="67"/>
      <c r="D506" s="88"/>
      <c r="E506" s="89"/>
      <c r="F506" s="89"/>
      <c r="G506" s="89"/>
    </row>
    <row r="507" spans="3:7" x14ac:dyDescent="0.25">
      <c r="C507" s="67"/>
      <c r="D507" s="88"/>
      <c r="E507" s="89"/>
      <c r="F507" s="89"/>
      <c r="G507" s="89"/>
    </row>
    <row r="508" spans="3:7" x14ac:dyDescent="0.25">
      <c r="C508" s="67"/>
      <c r="D508" s="88"/>
      <c r="E508" s="89"/>
      <c r="F508" s="89"/>
      <c r="G508" s="89"/>
    </row>
    <row r="509" spans="3:7" x14ac:dyDescent="0.25">
      <c r="C509" s="67"/>
      <c r="D509" s="88"/>
      <c r="E509" s="89"/>
      <c r="F509" s="89"/>
      <c r="G509" s="89"/>
    </row>
    <row r="510" spans="3:7" x14ac:dyDescent="0.25">
      <c r="C510" s="67"/>
      <c r="D510" s="88"/>
      <c r="E510" s="89"/>
      <c r="F510" s="89"/>
      <c r="G510" s="89"/>
    </row>
    <row r="511" spans="3:7" x14ac:dyDescent="0.25">
      <c r="C511" s="67"/>
      <c r="D511" s="88"/>
      <c r="E511" s="89"/>
      <c r="F511" s="89"/>
      <c r="G511" s="89"/>
    </row>
    <row r="512" spans="3:7" x14ac:dyDescent="0.25">
      <c r="C512" s="67"/>
      <c r="D512" s="88"/>
      <c r="E512" s="89"/>
      <c r="F512" s="89"/>
      <c r="G512" s="89"/>
    </row>
    <row r="513" spans="3:7" x14ac:dyDescent="0.25">
      <c r="C513" s="67"/>
      <c r="D513" s="88"/>
      <c r="E513" s="89"/>
      <c r="F513" s="89"/>
      <c r="G513" s="89"/>
    </row>
    <row r="514" spans="3:7" x14ac:dyDescent="0.25">
      <c r="C514" s="67"/>
      <c r="D514" s="88"/>
      <c r="E514" s="89"/>
      <c r="F514" s="89"/>
      <c r="G514" s="89"/>
    </row>
    <row r="515" spans="3:7" x14ac:dyDescent="0.25">
      <c r="C515" s="67"/>
      <c r="D515" s="88"/>
      <c r="E515" s="89"/>
      <c r="F515" s="89"/>
      <c r="G515" s="89"/>
    </row>
    <row r="516" spans="3:7" x14ac:dyDescent="0.25">
      <c r="C516" s="67"/>
      <c r="D516" s="88"/>
      <c r="E516" s="89"/>
      <c r="F516" s="89"/>
      <c r="G516" s="89"/>
    </row>
    <row r="517" spans="3:7" x14ac:dyDescent="0.25">
      <c r="C517" s="67"/>
      <c r="D517" s="88"/>
      <c r="E517" s="89"/>
      <c r="F517" s="89"/>
      <c r="G517" s="89"/>
    </row>
    <row r="518" spans="3:7" x14ac:dyDescent="0.25">
      <c r="C518" s="67"/>
      <c r="D518" s="88"/>
      <c r="E518" s="89"/>
      <c r="F518" s="89"/>
      <c r="G518" s="89"/>
    </row>
    <row r="519" spans="3:7" x14ac:dyDescent="0.25">
      <c r="C519" s="67"/>
      <c r="D519" s="88"/>
      <c r="E519" s="89"/>
      <c r="F519" s="89"/>
      <c r="G519" s="89"/>
    </row>
    <row r="520" spans="3:7" x14ac:dyDescent="0.25">
      <c r="C520" s="67"/>
      <c r="D520" s="88"/>
      <c r="E520" s="89"/>
      <c r="F520" s="89"/>
      <c r="G520" s="89"/>
    </row>
    <row r="521" spans="3:7" x14ac:dyDescent="0.25">
      <c r="C521" s="67"/>
      <c r="D521" s="88"/>
      <c r="E521" s="89"/>
      <c r="F521" s="89"/>
      <c r="G521" s="89"/>
    </row>
    <row r="522" spans="3:7" x14ac:dyDescent="0.25">
      <c r="C522" s="67"/>
      <c r="D522" s="88"/>
      <c r="E522" s="89"/>
      <c r="F522" s="89"/>
      <c r="G522" s="89"/>
    </row>
    <row r="523" spans="3:7" x14ac:dyDescent="0.25">
      <c r="C523" s="67"/>
      <c r="D523" s="88"/>
      <c r="E523" s="89"/>
      <c r="F523" s="89"/>
      <c r="G523" s="89"/>
    </row>
    <row r="524" spans="3:7" x14ac:dyDescent="0.25">
      <c r="C524" s="67"/>
      <c r="D524" s="88"/>
      <c r="E524" s="89"/>
      <c r="F524" s="89"/>
      <c r="G524" s="89"/>
    </row>
    <row r="525" spans="3:7" x14ac:dyDescent="0.25">
      <c r="C525" s="67"/>
      <c r="D525" s="88"/>
      <c r="E525" s="89"/>
      <c r="F525" s="89"/>
      <c r="G525" s="89"/>
    </row>
    <row r="526" spans="3:7" x14ac:dyDescent="0.25">
      <c r="C526" s="67"/>
      <c r="D526" s="88"/>
      <c r="E526" s="89"/>
      <c r="F526" s="89"/>
      <c r="G526" s="89"/>
    </row>
    <row r="527" spans="3:7" x14ac:dyDescent="0.25">
      <c r="C527" s="67"/>
      <c r="D527" s="88"/>
      <c r="E527" s="89"/>
      <c r="F527" s="89"/>
      <c r="G527" s="89"/>
    </row>
    <row r="528" spans="3:7" x14ac:dyDescent="0.25">
      <c r="C528" s="67"/>
      <c r="D528" s="88"/>
      <c r="E528" s="89"/>
      <c r="F528" s="89"/>
      <c r="G528" s="89"/>
    </row>
    <row r="529" spans="3:7" x14ac:dyDescent="0.25">
      <c r="C529" s="67"/>
      <c r="D529" s="88"/>
      <c r="E529" s="89"/>
      <c r="F529" s="89"/>
      <c r="G529" s="89"/>
    </row>
    <row r="530" spans="3:7" x14ac:dyDescent="0.25">
      <c r="C530" s="67"/>
      <c r="D530" s="88"/>
      <c r="E530" s="89"/>
      <c r="F530" s="89"/>
      <c r="G530" s="89"/>
    </row>
    <row r="531" spans="3:7" x14ac:dyDescent="0.25">
      <c r="C531" s="67"/>
      <c r="D531" s="88"/>
      <c r="E531" s="89"/>
      <c r="F531" s="89"/>
      <c r="G531" s="89"/>
    </row>
    <row r="532" spans="3:7" x14ac:dyDescent="0.25">
      <c r="C532" s="67"/>
      <c r="D532" s="88"/>
      <c r="E532" s="89"/>
      <c r="F532" s="89"/>
      <c r="G532" s="89"/>
    </row>
    <row r="533" spans="3:7" x14ac:dyDescent="0.25">
      <c r="C533" s="67"/>
      <c r="D533" s="88"/>
      <c r="E533" s="89"/>
      <c r="F533" s="89"/>
      <c r="G533" s="89"/>
    </row>
    <row r="534" spans="3:7" x14ac:dyDescent="0.25">
      <c r="C534" s="67"/>
      <c r="D534" s="88"/>
      <c r="E534" s="89"/>
      <c r="F534" s="89"/>
      <c r="G534" s="89"/>
    </row>
    <row r="535" spans="3:7" x14ac:dyDescent="0.25">
      <c r="C535" s="67"/>
      <c r="D535" s="88"/>
      <c r="E535" s="89"/>
      <c r="F535" s="89"/>
      <c r="G535" s="89"/>
    </row>
    <row r="536" spans="3:7" x14ac:dyDescent="0.25">
      <c r="C536" s="67"/>
      <c r="D536" s="88"/>
      <c r="E536" s="89"/>
      <c r="F536" s="89"/>
      <c r="G536" s="89"/>
    </row>
    <row r="537" spans="3:7" x14ac:dyDescent="0.25">
      <c r="C537" s="67"/>
      <c r="D537" s="88"/>
      <c r="E537" s="89"/>
      <c r="F537" s="89"/>
      <c r="G537" s="89"/>
    </row>
    <row r="538" spans="3:7" x14ac:dyDescent="0.25">
      <c r="C538" s="67"/>
      <c r="D538" s="88"/>
      <c r="E538" s="89"/>
      <c r="F538" s="89"/>
      <c r="G538" s="89"/>
    </row>
    <row r="539" spans="3:7" x14ac:dyDescent="0.25">
      <c r="C539" s="67"/>
      <c r="D539" s="88"/>
      <c r="E539" s="89"/>
      <c r="F539" s="89"/>
      <c r="G539" s="89"/>
    </row>
    <row r="540" spans="3:7" x14ac:dyDescent="0.25">
      <c r="C540" s="67"/>
      <c r="D540" s="88"/>
      <c r="E540" s="89"/>
      <c r="F540" s="89"/>
      <c r="G540" s="89"/>
    </row>
    <row r="541" spans="3:7" x14ac:dyDescent="0.25">
      <c r="C541" s="67"/>
      <c r="D541" s="88"/>
      <c r="E541" s="89"/>
      <c r="F541" s="89"/>
      <c r="G541" s="89"/>
    </row>
    <row r="542" spans="3:7" x14ac:dyDescent="0.25">
      <c r="C542" s="67"/>
      <c r="D542" s="88"/>
      <c r="E542" s="89"/>
      <c r="F542" s="89"/>
      <c r="G542" s="89"/>
    </row>
    <row r="543" spans="3:7" x14ac:dyDescent="0.25">
      <c r="C543" s="67"/>
      <c r="D543" s="88"/>
      <c r="E543" s="89"/>
      <c r="F543" s="89"/>
      <c r="G543" s="89"/>
    </row>
    <row r="544" spans="3:7" x14ac:dyDescent="0.25">
      <c r="C544" s="67"/>
      <c r="D544" s="88"/>
      <c r="E544" s="89"/>
      <c r="F544" s="89"/>
      <c r="G544" s="89"/>
    </row>
    <row r="545" spans="3:7" x14ac:dyDescent="0.25">
      <c r="C545" s="67"/>
      <c r="D545" s="88"/>
      <c r="E545" s="89"/>
      <c r="F545" s="89"/>
      <c r="G545" s="89"/>
    </row>
    <row r="546" spans="3:7" x14ac:dyDescent="0.25">
      <c r="C546" s="67"/>
      <c r="D546" s="88"/>
      <c r="E546" s="89"/>
      <c r="F546" s="89"/>
      <c r="G546" s="89"/>
    </row>
    <row r="547" spans="3:7" x14ac:dyDescent="0.25">
      <c r="C547" s="67"/>
      <c r="D547" s="88"/>
      <c r="E547" s="89"/>
      <c r="F547" s="89"/>
      <c r="G547" s="89"/>
    </row>
    <row r="548" spans="3:7" x14ac:dyDescent="0.25">
      <c r="C548" s="67"/>
      <c r="D548" s="88"/>
      <c r="E548" s="89"/>
      <c r="F548" s="89"/>
      <c r="G548" s="89"/>
    </row>
    <row r="549" spans="3:7" x14ac:dyDescent="0.25">
      <c r="C549" s="67"/>
      <c r="D549" s="88"/>
      <c r="E549" s="89"/>
      <c r="F549" s="89"/>
      <c r="G549" s="89"/>
    </row>
    <row r="550" spans="3:7" x14ac:dyDescent="0.25">
      <c r="C550" s="67"/>
      <c r="D550" s="88"/>
      <c r="E550" s="89"/>
      <c r="F550" s="89"/>
      <c r="G550" s="89"/>
    </row>
    <row r="551" spans="3:7" x14ac:dyDescent="0.25">
      <c r="C551" s="67"/>
      <c r="D551" s="88"/>
      <c r="E551" s="89"/>
      <c r="F551" s="89"/>
      <c r="G551" s="89"/>
    </row>
    <row r="552" spans="3:7" x14ac:dyDescent="0.25">
      <c r="C552" s="67"/>
      <c r="D552" s="88"/>
      <c r="E552" s="89"/>
      <c r="F552" s="89"/>
      <c r="G552" s="89"/>
    </row>
    <row r="553" spans="3:7" x14ac:dyDescent="0.25">
      <c r="C553" s="67"/>
      <c r="D553" s="88"/>
      <c r="E553" s="89"/>
      <c r="F553" s="89"/>
      <c r="G553" s="89"/>
    </row>
    <row r="554" spans="3:7" x14ac:dyDescent="0.25">
      <c r="C554" s="67"/>
      <c r="D554" s="88"/>
      <c r="E554" s="89"/>
      <c r="F554" s="89"/>
      <c r="G554" s="89"/>
    </row>
    <row r="555" spans="3:7" x14ac:dyDescent="0.25">
      <c r="C555" s="67"/>
      <c r="D555" s="88"/>
      <c r="E555" s="89"/>
      <c r="F555" s="89"/>
      <c r="G555" s="89"/>
    </row>
    <row r="556" spans="3:7" x14ac:dyDescent="0.25">
      <c r="C556" s="67"/>
      <c r="D556" s="88"/>
      <c r="E556" s="89"/>
      <c r="F556" s="89"/>
      <c r="G556" s="89"/>
    </row>
    <row r="557" spans="3:7" x14ac:dyDescent="0.25">
      <c r="C557" s="67"/>
      <c r="D557" s="88"/>
      <c r="E557" s="89"/>
      <c r="F557" s="89"/>
      <c r="G557" s="89"/>
    </row>
    <row r="558" spans="3:7" x14ac:dyDescent="0.25">
      <c r="C558" s="67"/>
      <c r="D558" s="88"/>
      <c r="E558" s="89"/>
      <c r="F558" s="89"/>
      <c r="G558" s="89"/>
    </row>
    <row r="559" spans="3:7" x14ac:dyDescent="0.25">
      <c r="C559" s="67"/>
      <c r="D559" s="88"/>
      <c r="E559" s="89"/>
      <c r="F559" s="89"/>
      <c r="G559" s="89"/>
    </row>
    <row r="560" spans="3:7" x14ac:dyDescent="0.25">
      <c r="C560" s="67"/>
      <c r="D560" s="88"/>
      <c r="E560" s="89"/>
      <c r="F560" s="89"/>
      <c r="G560" s="89"/>
    </row>
    <row r="561" spans="3:7" x14ac:dyDescent="0.25">
      <c r="C561" s="67"/>
      <c r="D561" s="88"/>
      <c r="E561" s="89"/>
      <c r="F561" s="89"/>
      <c r="G561" s="89"/>
    </row>
    <row r="562" spans="3:7" x14ac:dyDescent="0.25">
      <c r="C562" s="67"/>
      <c r="D562" s="88"/>
      <c r="E562" s="89"/>
      <c r="F562" s="89"/>
      <c r="G562" s="89"/>
    </row>
    <row r="563" spans="3:7" x14ac:dyDescent="0.25">
      <c r="C563" s="67"/>
      <c r="D563" s="88"/>
      <c r="E563" s="89"/>
      <c r="F563" s="89"/>
      <c r="G563" s="89"/>
    </row>
    <row r="564" spans="3:7" x14ac:dyDescent="0.25">
      <c r="C564" s="67"/>
      <c r="D564" s="88"/>
      <c r="E564" s="89"/>
      <c r="F564" s="89"/>
      <c r="G564" s="89"/>
    </row>
    <row r="565" spans="3:7" x14ac:dyDescent="0.25">
      <c r="C565" s="67"/>
      <c r="D565" s="88"/>
      <c r="E565" s="89"/>
      <c r="F565" s="89"/>
      <c r="G565" s="89"/>
    </row>
    <row r="566" spans="3:7" x14ac:dyDescent="0.25">
      <c r="C566" s="67"/>
      <c r="D566" s="88"/>
      <c r="E566" s="89"/>
      <c r="F566" s="89"/>
      <c r="G566" s="89"/>
    </row>
    <row r="567" spans="3:7" x14ac:dyDescent="0.25">
      <c r="C567" s="67"/>
      <c r="D567" s="88"/>
      <c r="E567" s="89"/>
      <c r="F567" s="89"/>
      <c r="G567" s="89"/>
    </row>
    <row r="568" spans="3:7" x14ac:dyDescent="0.25">
      <c r="C568" s="67"/>
      <c r="D568" s="88"/>
      <c r="E568" s="89"/>
      <c r="F568" s="89"/>
      <c r="G568" s="89"/>
    </row>
    <row r="569" spans="3:7" x14ac:dyDescent="0.25">
      <c r="C569" s="67"/>
      <c r="D569" s="88"/>
      <c r="E569" s="89"/>
      <c r="F569" s="89"/>
      <c r="G569" s="89"/>
    </row>
    <row r="570" spans="3:7" x14ac:dyDescent="0.25">
      <c r="C570" s="67"/>
      <c r="D570" s="88"/>
      <c r="E570" s="89"/>
      <c r="F570" s="89"/>
      <c r="G570" s="89"/>
    </row>
    <row r="571" spans="3:7" x14ac:dyDescent="0.25">
      <c r="C571" s="67"/>
      <c r="D571" s="88"/>
      <c r="E571" s="89"/>
      <c r="F571" s="89"/>
      <c r="G571" s="89"/>
    </row>
    <row r="572" spans="3:7" x14ac:dyDescent="0.25">
      <c r="C572" s="67"/>
      <c r="D572" s="88"/>
      <c r="E572" s="89"/>
      <c r="F572" s="89"/>
      <c r="G572" s="89"/>
    </row>
    <row r="573" spans="3:7" x14ac:dyDescent="0.25">
      <c r="C573" s="67"/>
      <c r="D573" s="88"/>
      <c r="E573" s="89"/>
      <c r="F573" s="89"/>
      <c r="G573" s="89"/>
    </row>
    <row r="574" spans="3:7" x14ac:dyDescent="0.25">
      <c r="C574" s="67"/>
      <c r="D574" s="88"/>
      <c r="E574" s="89"/>
      <c r="F574" s="89"/>
      <c r="G574" s="89"/>
    </row>
    <row r="575" spans="3:7" x14ac:dyDescent="0.25">
      <c r="C575" s="67"/>
      <c r="D575" s="88"/>
      <c r="E575" s="89"/>
      <c r="F575" s="89"/>
      <c r="G575" s="89"/>
    </row>
    <row r="576" spans="3:7" x14ac:dyDescent="0.25">
      <c r="C576" s="67"/>
      <c r="D576" s="88"/>
      <c r="E576" s="89"/>
      <c r="F576" s="89"/>
      <c r="G576" s="89"/>
    </row>
    <row r="577" spans="3:7" x14ac:dyDescent="0.25">
      <c r="C577" s="67"/>
      <c r="D577" s="88"/>
      <c r="E577" s="89"/>
      <c r="F577" s="89"/>
      <c r="G577" s="89"/>
    </row>
    <row r="578" spans="3:7" x14ac:dyDescent="0.25">
      <c r="C578" s="67"/>
      <c r="D578" s="88"/>
      <c r="E578" s="89"/>
      <c r="F578" s="89"/>
      <c r="G578" s="89"/>
    </row>
    <row r="579" spans="3:7" x14ac:dyDescent="0.25">
      <c r="C579" s="67"/>
      <c r="D579" s="88"/>
      <c r="E579" s="89"/>
      <c r="F579" s="89"/>
      <c r="G579" s="89"/>
    </row>
    <row r="580" spans="3:7" x14ac:dyDescent="0.25">
      <c r="C580" s="67"/>
      <c r="D580" s="88"/>
      <c r="E580" s="89"/>
      <c r="F580" s="89"/>
      <c r="G580" s="89"/>
    </row>
    <row r="581" spans="3:7" x14ac:dyDescent="0.25">
      <c r="C581" s="67"/>
      <c r="D581" s="88"/>
      <c r="E581" s="89"/>
      <c r="F581" s="89"/>
      <c r="G581" s="89"/>
    </row>
    <row r="582" spans="3:7" x14ac:dyDescent="0.25">
      <c r="C582" s="67"/>
      <c r="D582" s="88"/>
      <c r="E582" s="89"/>
      <c r="F582" s="89"/>
      <c r="G582" s="89"/>
    </row>
    <row r="583" spans="3:7" x14ac:dyDescent="0.25">
      <c r="C583" s="67"/>
      <c r="D583" s="88"/>
      <c r="E583" s="89"/>
      <c r="F583" s="89"/>
      <c r="G583" s="89"/>
    </row>
    <row r="584" spans="3:7" x14ac:dyDescent="0.25">
      <c r="C584" s="67"/>
      <c r="D584" s="88"/>
      <c r="E584" s="89"/>
      <c r="F584" s="89"/>
      <c r="G584" s="89"/>
    </row>
    <row r="585" spans="3:7" x14ac:dyDescent="0.25">
      <c r="C585" s="67"/>
      <c r="D585" s="88"/>
      <c r="E585" s="89"/>
      <c r="F585" s="89"/>
      <c r="G585" s="89"/>
    </row>
    <row r="586" spans="3:7" x14ac:dyDescent="0.25">
      <c r="C586" s="67"/>
      <c r="D586" s="88"/>
      <c r="E586" s="89"/>
      <c r="F586" s="89"/>
      <c r="G586" s="89"/>
    </row>
    <row r="587" spans="3:7" x14ac:dyDescent="0.25">
      <c r="C587" s="67"/>
      <c r="D587" s="88"/>
      <c r="E587" s="89"/>
      <c r="F587" s="89"/>
      <c r="G587" s="89"/>
    </row>
    <row r="588" spans="3:7" x14ac:dyDescent="0.25">
      <c r="C588" s="67"/>
      <c r="D588" s="88"/>
      <c r="E588" s="89"/>
      <c r="F588" s="89"/>
      <c r="G588" s="89"/>
    </row>
    <row r="589" spans="3:7" x14ac:dyDescent="0.25">
      <c r="C589" s="67"/>
      <c r="D589" s="88"/>
      <c r="E589" s="89"/>
      <c r="F589" s="89"/>
      <c r="G589" s="89"/>
    </row>
    <row r="590" spans="3:7" x14ac:dyDescent="0.25">
      <c r="C590" s="67"/>
      <c r="D590" s="88"/>
      <c r="E590" s="89"/>
      <c r="F590" s="89"/>
      <c r="G590" s="89"/>
    </row>
    <row r="591" spans="3:7" x14ac:dyDescent="0.25">
      <c r="C591" s="67"/>
      <c r="D591" s="88"/>
      <c r="E591" s="89"/>
      <c r="F591" s="89"/>
      <c r="G591" s="89"/>
    </row>
    <row r="592" spans="3:7" x14ac:dyDescent="0.25">
      <c r="C592" s="67"/>
      <c r="D592" s="88"/>
      <c r="E592" s="89"/>
      <c r="F592" s="89"/>
      <c r="G592" s="89"/>
    </row>
    <row r="593" spans="3:7" x14ac:dyDescent="0.25">
      <c r="C593" s="67"/>
      <c r="D593" s="88"/>
      <c r="E593" s="89"/>
      <c r="F593" s="89"/>
      <c r="G593" s="89"/>
    </row>
    <row r="594" spans="3:7" x14ac:dyDescent="0.25">
      <c r="C594" s="67"/>
      <c r="D594" s="88"/>
      <c r="E594" s="89"/>
      <c r="F594" s="89"/>
      <c r="G594" s="89"/>
    </row>
    <row r="595" spans="3:7" x14ac:dyDescent="0.25">
      <c r="C595" s="67"/>
      <c r="D595" s="88"/>
      <c r="E595" s="89"/>
      <c r="F595" s="89"/>
      <c r="G595" s="89"/>
    </row>
    <row r="596" spans="3:7" x14ac:dyDescent="0.25">
      <c r="C596" s="67"/>
      <c r="D596" s="88"/>
      <c r="E596" s="89"/>
      <c r="F596" s="89"/>
      <c r="G596" s="89"/>
    </row>
    <row r="597" spans="3:7" x14ac:dyDescent="0.25">
      <c r="C597" s="67"/>
      <c r="D597" s="88"/>
      <c r="E597" s="89"/>
      <c r="F597" s="89"/>
      <c r="G597" s="89"/>
    </row>
    <row r="598" spans="3:7" x14ac:dyDescent="0.25">
      <c r="C598" s="67"/>
      <c r="D598" s="88"/>
      <c r="E598" s="89"/>
      <c r="F598" s="89"/>
      <c r="G598" s="89"/>
    </row>
    <row r="599" spans="3:7" x14ac:dyDescent="0.25">
      <c r="C599" s="67"/>
      <c r="D599" s="88"/>
      <c r="E599" s="89"/>
      <c r="F599" s="89"/>
      <c r="G599" s="89"/>
    </row>
    <row r="600" spans="3:7" x14ac:dyDescent="0.25">
      <c r="C600" s="67"/>
      <c r="D600" s="88"/>
      <c r="E600" s="89"/>
      <c r="F600" s="89"/>
      <c r="G600" s="89"/>
    </row>
    <row r="601" spans="3:7" x14ac:dyDescent="0.25">
      <c r="C601" s="67"/>
      <c r="D601" s="88"/>
      <c r="E601" s="89"/>
      <c r="F601" s="89"/>
      <c r="G601" s="89"/>
    </row>
    <row r="602" spans="3:7" x14ac:dyDescent="0.25">
      <c r="C602" s="67"/>
      <c r="D602" s="88"/>
      <c r="E602" s="89"/>
      <c r="F602" s="89"/>
      <c r="G602" s="89"/>
    </row>
    <row r="603" spans="3:7" x14ac:dyDescent="0.25">
      <c r="C603" s="67"/>
      <c r="D603" s="88"/>
      <c r="E603" s="89"/>
      <c r="F603" s="89"/>
      <c r="G603" s="89"/>
    </row>
    <row r="604" spans="3:7" x14ac:dyDescent="0.25">
      <c r="C604" s="67"/>
      <c r="D604" s="88"/>
      <c r="E604" s="89"/>
      <c r="F604" s="89"/>
      <c r="G604" s="89"/>
    </row>
    <row r="605" spans="3:7" x14ac:dyDescent="0.25">
      <c r="C605" s="67"/>
      <c r="D605" s="88"/>
      <c r="E605" s="89"/>
      <c r="F605" s="89"/>
      <c r="G605" s="89"/>
    </row>
    <row r="606" spans="3:7" x14ac:dyDescent="0.25">
      <c r="C606" s="67"/>
      <c r="D606" s="88"/>
      <c r="E606" s="89"/>
      <c r="F606" s="89"/>
      <c r="G606" s="89"/>
    </row>
    <row r="607" spans="3:7" x14ac:dyDescent="0.25">
      <c r="C607" s="67"/>
      <c r="D607" s="88"/>
      <c r="E607" s="89"/>
      <c r="F607" s="89"/>
      <c r="G607" s="89"/>
    </row>
    <row r="608" spans="3:7" x14ac:dyDescent="0.25">
      <c r="C608" s="67"/>
      <c r="D608" s="88"/>
      <c r="E608" s="89"/>
      <c r="F608" s="89"/>
      <c r="G608" s="89"/>
    </row>
    <row r="609" spans="3:7" x14ac:dyDescent="0.25">
      <c r="C609" s="67"/>
      <c r="D609" s="88"/>
      <c r="E609" s="89"/>
      <c r="F609" s="89"/>
      <c r="G609" s="89"/>
    </row>
    <row r="610" spans="3:7" x14ac:dyDescent="0.25">
      <c r="C610" s="67"/>
      <c r="D610" s="88"/>
      <c r="E610" s="89"/>
      <c r="F610" s="89"/>
      <c r="G610" s="89"/>
    </row>
    <row r="611" spans="3:7" x14ac:dyDescent="0.25">
      <c r="C611" s="67"/>
      <c r="D611" s="88"/>
      <c r="E611" s="89"/>
      <c r="F611" s="89"/>
      <c r="G611" s="89"/>
    </row>
    <row r="612" spans="3:7" x14ac:dyDescent="0.25">
      <c r="C612" s="67"/>
      <c r="D612" s="88"/>
      <c r="E612" s="89"/>
      <c r="F612" s="89"/>
      <c r="G612" s="89"/>
    </row>
    <row r="613" spans="3:7" x14ac:dyDescent="0.25">
      <c r="C613" s="67"/>
      <c r="D613" s="88"/>
      <c r="E613" s="89"/>
      <c r="F613" s="89"/>
      <c r="G613" s="89"/>
    </row>
    <row r="614" spans="3:7" x14ac:dyDescent="0.25">
      <c r="C614" s="67"/>
      <c r="D614" s="88"/>
      <c r="E614" s="89"/>
      <c r="F614" s="89"/>
      <c r="G614" s="89"/>
    </row>
    <row r="615" spans="3:7" x14ac:dyDescent="0.25">
      <c r="C615" s="67"/>
      <c r="D615" s="88"/>
      <c r="E615" s="89"/>
      <c r="F615" s="89"/>
      <c r="G615" s="89"/>
    </row>
    <row r="616" spans="3:7" x14ac:dyDescent="0.25">
      <c r="C616" s="67"/>
      <c r="D616" s="88"/>
      <c r="E616" s="89"/>
      <c r="F616" s="89"/>
      <c r="G616" s="89"/>
    </row>
    <row r="617" spans="3:7" x14ac:dyDescent="0.25">
      <c r="C617" s="67"/>
      <c r="D617" s="88"/>
      <c r="E617" s="89"/>
      <c r="F617" s="89"/>
      <c r="G617" s="89"/>
    </row>
    <row r="618" spans="3:7" x14ac:dyDescent="0.25">
      <c r="C618" s="67"/>
      <c r="D618" s="88"/>
      <c r="E618" s="89"/>
      <c r="F618" s="89"/>
      <c r="G618" s="89"/>
    </row>
    <row r="619" spans="3:7" x14ac:dyDescent="0.25">
      <c r="C619" s="67"/>
      <c r="D619" s="88"/>
      <c r="E619" s="89"/>
      <c r="F619" s="89"/>
      <c r="G619" s="89"/>
    </row>
    <row r="620" spans="3:7" x14ac:dyDescent="0.25">
      <c r="C620" s="67"/>
      <c r="D620" s="88"/>
      <c r="E620" s="89"/>
      <c r="F620" s="89"/>
      <c r="G620" s="89"/>
    </row>
    <row r="621" spans="3:7" x14ac:dyDescent="0.25">
      <c r="C621" s="67"/>
      <c r="D621" s="88"/>
      <c r="E621" s="89"/>
      <c r="F621" s="89"/>
      <c r="G621" s="89"/>
    </row>
    <row r="622" spans="3:7" x14ac:dyDescent="0.25">
      <c r="C622" s="67"/>
      <c r="D622" s="88"/>
      <c r="E622" s="89"/>
      <c r="F622" s="89"/>
      <c r="G622" s="89"/>
    </row>
    <row r="623" spans="3:7" x14ac:dyDescent="0.25">
      <c r="C623" s="67"/>
      <c r="D623" s="88"/>
      <c r="E623" s="89"/>
      <c r="F623" s="89"/>
      <c r="G623" s="89"/>
    </row>
    <row r="624" spans="3:7" x14ac:dyDescent="0.25">
      <c r="C624" s="67"/>
      <c r="D624" s="88"/>
      <c r="E624" s="89"/>
      <c r="F624" s="89"/>
      <c r="G624" s="89"/>
    </row>
    <row r="625" spans="3:7" x14ac:dyDescent="0.25">
      <c r="C625" s="67"/>
      <c r="D625" s="88"/>
      <c r="E625" s="89"/>
      <c r="F625" s="89"/>
      <c r="G625" s="89"/>
    </row>
    <row r="626" spans="3:7" x14ac:dyDescent="0.25">
      <c r="C626" s="67"/>
      <c r="D626" s="88"/>
      <c r="E626" s="89"/>
      <c r="F626" s="89"/>
      <c r="G626" s="89"/>
    </row>
    <row r="627" spans="3:7" x14ac:dyDescent="0.25">
      <c r="C627" s="67"/>
      <c r="D627" s="88"/>
      <c r="E627" s="89"/>
      <c r="F627" s="89"/>
      <c r="G627" s="89"/>
    </row>
    <row r="628" spans="3:7" x14ac:dyDescent="0.25">
      <c r="C628" s="67"/>
      <c r="D628" s="88"/>
      <c r="E628" s="89"/>
      <c r="F628" s="89"/>
      <c r="G628" s="89"/>
    </row>
    <row r="629" spans="3:7" x14ac:dyDescent="0.25">
      <c r="C629" s="67"/>
      <c r="D629" s="88"/>
      <c r="E629" s="89"/>
      <c r="F629" s="89"/>
      <c r="G629" s="89"/>
    </row>
    <row r="630" spans="3:7" x14ac:dyDescent="0.25">
      <c r="C630" s="67"/>
      <c r="D630" s="88"/>
      <c r="E630" s="89"/>
      <c r="F630" s="89"/>
      <c r="G630" s="89"/>
    </row>
    <row r="631" spans="3:7" x14ac:dyDescent="0.25">
      <c r="C631" s="67"/>
      <c r="D631" s="88"/>
      <c r="E631" s="89"/>
      <c r="F631" s="89"/>
      <c r="G631" s="89"/>
    </row>
    <row r="632" spans="3:7" x14ac:dyDescent="0.25">
      <c r="C632" s="67"/>
      <c r="D632" s="88"/>
      <c r="E632" s="89"/>
      <c r="F632" s="89"/>
      <c r="G632" s="89"/>
    </row>
    <row r="633" spans="3:7" x14ac:dyDescent="0.25">
      <c r="C633" s="67"/>
      <c r="D633" s="88"/>
      <c r="E633" s="89"/>
      <c r="F633" s="89"/>
      <c r="G633" s="89"/>
    </row>
    <row r="634" spans="3:7" x14ac:dyDescent="0.25">
      <c r="C634" s="67"/>
      <c r="D634" s="88"/>
      <c r="E634" s="89"/>
      <c r="F634" s="89"/>
      <c r="G634" s="89"/>
    </row>
    <row r="635" spans="3:7" x14ac:dyDescent="0.25">
      <c r="C635" s="67"/>
      <c r="D635" s="88"/>
      <c r="E635" s="89"/>
      <c r="F635" s="89"/>
      <c r="G635" s="89"/>
    </row>
    <row r="636" spans="3:7" x14ac:dyDescent="0.25">
      <c r="C636" s="67"/>
      <c r="D636" s="88"/>
      <c r="E636" s="89"/>
      <c r="F636" s="89"/>
      <c r="G636" s="89"/>
    </row>
    <row r="637" spans="3:7" x14ac:dyDescent="0.25">
      <c r="C637" s="67"/>
      <c r="D637" s="88"/>
      <c r="E637" s="89"/>
      <c r="F637" s="89"/>
      <c r="G637" s="89"/>
    </row>
    <row r="638" spans="3:7" x14ac:dyDescent="0.25">
      <c r="C638" s="67"/>
      <c r="D638" s="88"/>
      <c r="E638" s="89"/>
      <c r="F638" s="89"/>
      <c r="G638" s="89"/>
    </row>
    <row r="639" spans="3:7" x14ac:dyDescent="0.25">
      <c r="C639" s="67"/>
      <c r="D639" s="88"/>
      <c r="E639" s="89"/>
      <c r="F639" s="89"/>
      <c r="G639" s="89"/>
    </row>
    <row r="640" spans="3:7" x14ac:dyDescent="0.25">
      <c r="C640" s="67"/>
      <c r="D640" s="88"/>
      <c r="E640" s="89"/>
      <c r="F640" s="89"/>
      <c r="G640" s="89"/>
    </row>
    <row r="641" spans="3:7" x14ac:dyDescent="0.25">
      <c r="C641" s="67"/>
      <c r="D641" s="88"/>
      <c r="E641" s="89"/>
      <c r="F641" s="89"/>
      <c r="G641" s="89"/>
    </row>
    <row r="642" spans="3:7" x14ac:dyDescent="0.25">
      <c r="C642" s="67"/>
      <c r="D642" s="88"/>
      <c r="E642" s="89"/>
      <c r="F642" s="89"/>
      <c r="G642" s="89"/>
    </row>
    <row r="643" spans="3:7" x14ac:dyDescent="0.25">
      <c r="C643" s="67"/>
      <c r="D643" s="88"/>
      <c r="E643" s="89"/>
      <c r="F643" s="89"/>
      <c r="G643" s="89"/>
    </row>
    <row r="644" spans="3:7" x14ac:dyDescent="0.25">
      <c r="C644" s="67"/>
      <c r="D644" s="88"/>
      <c r="E644" s="89"/>
      <c r="F644" s="89"/>
      <c r="G644" s="89"/>
    </row>
    <row r="645" spans="3:7" x14ac:dyDescent="0.25">
      <c r="C645" s="67"/>
      <c r="D645" s="88"/>
      <c r="E645" s="89"/>
      <c r="F645" s="89"/>
      <c r="G645" s="89"/>
    </row>
    <row r="646" spans="3:7" x14ac:dyDescent="0.25">
      <c r="C646" s="67"/>
      <c r="D646" s="88"/>
      <c r="E646" s="89"/>
      <c r="F646" s="89"/>
      <c r="G646" s="89"/>
    </row>
    <row r="647" spans="3:7" x14ac:dyDescent="0.25">
      <c r="C647" s="67"/>
      <c r="D647" s="88"/>
      <c r="E647" s="89"/>
      <c r="F647" s="89"/>
      <c r="G647" s="89"/>
    </row>
    <row r="648" spans="3:7" x14ac:dyDescent="0.25">
      <c r="C648" s="67"/>
      <c r="D648" s="88"/>
      <c r="E648" s="89"/>
      <c r="F648" s="89"/>
      <c r="G648" s="89"/>
    </row>
    <row r="649" spans="3:7" x14ac:dyDescent="0.25">
      <c r="C649" s="67"/>
      <c r="D649" s="88"/>
      <c r="E649" s="89"/>
      <c r="F649" s="89"/>
      <c r="G649" s="89"/>
    </row>
    <row r="650" spans="3:7" x14ac:dyDescent="0.25">
      <c r="C650" s="67"/>
      <c r="D650" s="88"/>
      <c r="E650" s="89"/>
      <c r="F650" s="89"/>
      <c r="G650" s="89"/>
    </row>
    <row r="651" spans="3:7" x14ac:dyDescent="0.25">
      <c r="C651" s="67"/>
      <c r="D651" s="88"/>
      <c r="E651" s="89"/>
      <c r="F651" s="89"/>
      <c r="G651" s="89"/>
    </row>
    <row r="652" spans="3:7" x14ac:dyDescent="0.25">
      <c r="C652" s="67"/>
      <c r="D652" s="88"/>
      <c r="E652" s="89"/>
      <c r="F652" s="89"/>
      <c r="G652" s="89"/>
    </row>
    <row r="653" spans="3:7" x14ac:dyDescent="0.25">
      <c r="C653" s="67"/>
      <c r="D653" s="88"/>
      <c r="E653" s="89"/>
      <c r="F653" s="89"/>
      <c r="G653" s="89"/>
    </row>
    <row r="654" spans="3:7" x14ac:dyDescent="0.25">
      <c r="C654" s="67"/>
      <c r="D654" s="88"/>
      <c r="E654" s="89"/>
      <c r="F654" s="89"/>
      <c r="G654" s="89"/>
    </row>
    <row r="655" spans="3:7" x14ac:dyDescent="0.25">
      <c r="C655" s="67"/>
      <c r="D655" s="88"/>
      <c r="E655" s="89"/>
      <c r="F655" s="89"/>
      <c r="G655" s="89"/>
    </row>
    <row r="656" spans="3:7" x14ac:dyDescent="0.25">
      <c r="C656" s="67"/>
      <c r="D656" s="88"/>
      <c r="E656" s="89"/>
      <c r="F656" s="89"/>
      <c r="G656" s="89"/>
    </row>
    <row r="657" spans="3:7" x14ac:dyDescent="0.25">
      <c r="C657" s="67"/>
      <c r="D657" s="88"/>
      <c r="E657" s="89"/>
      <c r="F657" s="89"/>
      <c r="G657" s="89"/>
    </row>
    <row r="658" spans="3:7" x14ac:dyDescent="0.25">
      <c r="C658" s="67"/>
      <c r="D658" s="88"/>
      <c r="E658" s="89"/>
      <c r="F658" s="89"/>
      <c r="G658" s="89"/>
    </row>
    <row r="659" spans="3:7" x14ac:dyDescent="0.25">
      <c r="C659" s="67"/>
      <c r="D659" s="88"/>
      <c r="E659" s="89"/>
      <c r="F659" s="89"/>
      <c r="G659" s="89"/>
    </row>
    <row r="660" spans="3:7" x14ac:dyDescent="0.25">
      <c r="C660" s="67"/>
      <c r="D660" s="88"/>
      <c r="E660" s="89"/>
      <c r="F660" s="89"/>
      <c r="G660" s="89"/>
    </row>
    <row r="661" spans="3:7" x14ac:dyDescent="0.25">
      <c r="C661" s="67"/>
      <c r="D661" s="88"/>
      <c r="E661" s="89"/>
      <c r="F661" s="89"/>
      <c r="G661" s="89"/>
    </row>
    <row r="662" spans="3:7" x14ac:dyDescent="0.25">
      <c r="C662" s="67"/>
      <c r="D662" s="88"/>
      <c r="E662" s="89"/>
      <c r="F662" s="89"/>
      <c r="G662" s="89"/>
    </row>
    <row r="663" spans="3:7" x14ac:dyDescent="0.25">
      <c r="C663" s="67"/>
      <c r="D663" s="88"/>
      <c r="E663" s="89"/>
      <c r="F663" s="89"/>
      <c r="G663" s="89"/>
    </row>
    <row r="664" spans="3:7" x14ac:dyDescent="0.25">
      <c r="C664" s="67"/>
      <c r="D664" s="88"/>
      <c r="E664" s="89"/>
      <c r="F664" s="89"/>
      <c r="G664" s="89"/>
    </row>
    <row r="665" spans="3:7" x14ac:dyDescent="0.25">
      <c r="C665" s="67"/>
      <c r="D665" s="88"/>
      <c r="E665" s="89"/>
      <c r="F665" s="89"/>
      <c r="G665" s="89"/>
    </row>
    <row r="666" spans="3:7" x14ac:dyDescent="0.25">
      <c r="C666" s="67"/>
      <c r="D666" s="88"/>
      <c r="E666" s="89"/>
      <c r="F666" s="89"/>
      <c r="G666" s="89"/>
    </row>
    <row r="667" spans="3:7" x14ac:dyDescent="0.25">
      <c r="C667" s="67"/>
      <c r="D667" s="88"/>
      <c r="E667" s="89"/>
      <c r="F667" s="89"/>
      <c r="G667" s="89"/>
    </row>
    <row r="668" spans="3:7" x14ac:dyDescent="0.25">
      <c r="C668" s="67"/>
      <c r="D668" s="88"/>
      <c r="E668" s="89"/>
      <c r="F668" s="89"/>
      <c r="G668" s="89"/>
    </row>
    <row r="669" spans="3:7" x14ac:dyDescent="0.25">
      <c r="C669" s="67"/>
      <c r="D669" s="88"/>
      <c r="E669" s="89"/>
      <c r="F669" s="89"/>
      <c r="G669" s="89"/>
    </row>
    <row r="670" spans="3:7" x14ac:dyDescent="0.25">
      <c r="C670" s="67"/>
      <c r="D670" s="88"/>
      <c r="E670" s="89"/>
      <c r="F670" s="89"/>
      <c r="G670" s="89"/>
    </row>
    <row r="671" spans="3:7" x14ac:dyDescent="0.25">
      <c r="C671" s="67"/>
      <c r="D671" s="88"/>
      <c r="E671" s="89"/>
      <c r="F671" s="89"/>
      <c r="G671" s="89"/>
    </row>
    <row r="672" spans="3:7" x14ac:dyDescent="0.25">
      <c r="C672" s="67"/>
      <c r="D672" s="88"/>
      <c r="E672" s="89"/>
      <c r="F672" s="89"/>
      <c r="G672" s="89"/>
    </row>
    <row r="673" spans="3:7" x14ac:dyDescent="0.25">
      <c r="C673" s="67"/>
      <c r="D673" s="88"/>
      <c r="E673" s="89"/>
      <c r="F673" s="89"/>
      <c r="G673" s="89"/>
    </row>
    <row r="674" spans="3:7" x14ac:dyDescent="0.25">
      <c r="C674" s="67"/>
      <c r="D674" s="88"/>
      <c r="E674" s="89"/>
      <c r="F674" s="89"/>
      <c r="G674" s="89"/>
    </row>
    <row r="675" spans="3:7" x14ac:dyDescent="0.25">
      <c r="C675" s="67"/>
      <c r="D675" s="88"/>
      <c r="E675" s="89"/>
      <c r="F675" s="89"/>
      <c r="G675" s="89"/>
    </row>
    <row r="676" spans="3:7" x14ac:dyDescent="0.25">
      <c r="C676" s="67"/>
      <c r="D676" s="88"/>
      <c r="E676" s="89"/>
      <c r="F676" s="89"/>
      <c r="G676" s="89"/>
    </row>
    <row r="677" spans="3:7" x14ac:dyDescent="0.25">
      <c r="C677" s="67"/>
      <c r="D677" s="88"/>
      <c r="E677" s="89"/>
      <c r="F677" s="89"/>
      <c r="G677" s="89"/>
    </row>
    <row r="678" spans="3:7" x14ac:dyDescent="0.25">
      <c r="C678" s="67"/>
      <c r="D678" s="88"/>
      <c r="E678" s="89"/>
      <c r="F678" s="89"/>
      <c r="G678" s="89"/>
    </row>
    <row r="679" spans="3:7" x14ac:dyDescent="0.25">
      <c r="C679" s="67"/>
      <c r="D679" s="88"/>
      <c r="E679" s="89"/>
      <c r="F679" s="89"/>
      <c r="G679" s="89"/>
    </row>
    <row r="680" spans="3:7" x14ac:dyDescent="0.25">
      <c r="C680" s="67"/>
      <c r="D680" s="88"/>
      <c r="E680" s="89"/>
      <c r="F680" s="89"/>
      <c r="G680" s="89"/>
    </row>
    <row r="681" spans="3:7" x14ac:dyDescent="0.25">
      <c r="C681" s="67"/>
      <c r="D681" s="88"/>
      <c r="E681" s="89"/>
      <c r="F681" s="89"/>
      <c r="G681" s="89"/>
    </row>
    <row r="682" spans="3:7" x14ac:dyDescent="0.25">
      <c r="C682" s="67"/>
      <c r="D682" s="88"/>
      <c r="E682" s="89"/>
      <c r="F682" s="89"/>
      <c r="G682" s="89"/>
    </row>
    <row r="683" spans="3:7" x14ac:dyDescent="0.25">
      <c r="C683" s="67"/>
      <c r="D683" s="88"/>
      <c r="E683" s="89"/>
      <c r="F683" s="89"/>
      <c r="G683" s="89"/>
    </row>
    <row r="684" spans="3:7" x14ac:dyDescent="0.25">
      <c r="C684" s="67"/>
      <c r="D684" s="88"/>
      <c r="E684" s="89"/>
      <c r="F684" s="89"/>
      <c r="G684" s="89"/>
    </row>
    <row r="685" spans="3:7" x14ac:dyDescent="0.25">
      <c r="C685" s="67"/>
      <c r="D685" s="88"/>
      <c r="E685" s="89"/>
      <c r="F685" s="89"/>
      <c r="G685" s="89"/>
    </row>
    <row r="686" spans="3:7" x14ac:dyDescent="0.25">
      <c r="C686" s="67"/>
      <c r="D686" s="88"/>
      <c r="E686" s="89"/>
      <c r="F686" s="89"/>
      <c r="G686" s="89"/>
    </row>
    <row r="687" spans="3:7" x14ac:dyDescent="0.25">
      <c r="C687" s="67"/>
      <c r="D687" s="88"/>
      <c r="E687" s="89"/>
      <c r="F687" s="89"/>
      <c r="G687" s="89"/>
    </row>
    <row r="688" spans="3:7" x14ac:dyDescent="0.25">
      <c r="C688" s="67"/>
      <c r="D688" s="88"/>
      <c r="E688" s="89"/>
      <c r="F688" s="89"/>
      <c r="G688" s="89"/>
    </row>
    <row r="689" spans="3:7" x14ac:dyDescent="0.25">
      <c r="C689" s="67"/>
      <c r="D689" s="88"/>
      <c r="E689" s="89"/>
      <c r="F689" s="89"/>
      <c r="G689" s="89"/>
    </row>
    <row r="690" spans="3:7" x14ac:dyDescent="0.25">
      <c r="C690" s="67"/>
      <c r="D690" s="88"/>
      <c r="E690" s="89"/>
      <c r="F690" s="89"/>
      <c r="G690" s="89"/>
    </row>
    <row r="691" spans="3:7" x14ac:dyDescent="0.25">
      <c r="C691" s="67"/>
      <c r="D691" s="88"/>
      <c r="E691" s="89"/>
      <c r="F691" s="89"/>
      <c r="G691" s="89"/>
    </row>
    <row r="692" spans="3:7" x14ac:dyDescent="0.25">
      <c r="C692" s="67"/>
      <c r="D692" s="88"/>
      <c r="E692" s="89"/>
      <c r="F692" s="89"/>
      <c r="G692" s="89"/>
    </row>
    <row r="693" spans="3:7" x14ac:dyDescent="0.25">
      <c r="C693" s="67"/>
      <c r="D693" s="88"/>
      <c r="E693" s="89"/>
      <c r="F693" s="89"/>
      <c r="G693" s="89"/>
    </row>
    <row r="694" spans="3:7" x14ac:dyDescent="0.25">
      <c r="C694" s="67"/>
      <c r="D694" s="88"/>
      <c r="E694" s="89"/>
      <c r="F694" s="89"/>
      <c r="G694" s="89"/>
    </row>
    <row r="695" spans="3:7" x14ac:dyDescent="0.25">
      <c r="C695" s="67"/>
      <c r="D695" s="88"/>
      <c r="E695" s="89"/>
      <c r="F695" s="89"/>
      <c r="G695" s="89"/>
    </row>
    <row r="696" spans="3:7" x14ac:dyDescent="0.25">
      <c r="C696" s="67"/>
      <c r="D696" s="88"/>
      <c r="E696" s="89"/>
      <c r="F696" s="89"/>
      <c r="G696" s="89"/>
    </row>
    <row r="697" spans="3:7" x14ac:dyDescent="0.25">
      <c r="C697" s="67"/>
      <c r="D697" s="88"/>
      <c r="E697" s="89"/>
      <c r="F697" s="89"/>
      <c r="G697" s="89"/>
    </row>
    <row r="698" spans="3:7" x14ac:dyDescent="0.25">
      <c r="C698" s="67"/>
      <c r="D698" s="88"/>
      <c r="E698" s="89"/>
      <c r="F698" s="89"/>
      <c r="G698" s="89"/>
    </row>
    <row r="699" spans="3:7" x14ac:dyDescent="0.25">
      <c r="C699" s="67"/>
      <c r="D699" s="88"/>
      <c r="E699" s="89"/>
      <c r="F699" s="89"/>
      <c r="G699" s="89"/>
    </row>
    <row r="700" spans="3:7" x14ac:dyDescent="0.25">
      <c r="C700" s="67"/>
      <c r="D700" s="88"/>
      <c r="E700" s="89"/>
      <c r="F700" s="89"/>
      <c r="G700" s="89"/>
    </row>
    <row r="701" spans="3:7" x14ac:dyDescent="0.25">
      <c r="C701" s="67"/>
      <c r="D701" s="88"/>
      <c r="E701" s="89"/>
      <c r="F701" s="89"/>
      <c r="G701" s="89"/>
    </row>
    <row r="702" spans="3:7" x14ac:dyDescent="0.25">
      <c r="C702" s="67"/>
      <c r="D702" s="88"/>
      <c r="E702" s="89"/>
      <c r="F702" s="89"/>
      <c r="G702" s="89"/>
    </row>
    <row r="703" spans="3:7" x14ac:dyDescent="0.25">
      <c r="C703" s="67"/>
      <c r="D703" s="88"/>
      <c r="E703" s="89"/>
      <c r="F703" s="89"/>
      <c r="G703" s="89"/>
    </row>
    <row r="704" spans="3:7" x14ac:dyDescent="0.25">
      <c r="C704" s="67"/>
      <c r="D704" s="88"/>
      <c r="E704" s="89"/>
      <c r="F704" s="89"/>
      <c r="G704" s="89"/>
    </row>
    <row r="705" spans="3:7" x14ac:dyDescent="0.25">
      <c r="C705" s="67"/>
      <c r="D705" s="88"/>
      <c r="E705" s="89"/>
      <c r="F705" s="89"/>
      <c r="G705" s="89"/>
    </row>
    <row r="706" spans="3:7" x14ac:dyDescent="0.25">
      <c r="C706" s="67"/>
      <c r="D706" s="88"/>
      <c r="E706" s="89"/>
      <c r="F706" s="89"/>
      <c r="G706" s="89"/>
    </row>
    <row r="707" spans="3:7" x14ac:dyDescent="0.25">
      <c r="C707" s="67"/>
      <c r="D707" s="88"/>
      <c r="E707" s="89"/>
      <c r="F707" s="89"/>
      <c r="G707" s="89"/>
    </row>
    <row r="708" spans="3:7" x14ac:dyDescent="0.25">
      <c r="C708" s="67"/>
      <c r="D708" s="88"/>
      <c r="E708" s="89"/>
      <c r="F708" s="89"/>
      <c r="G708" s="89"/>
    </row>
    <row r="709" spans="3:7" x14ac:dyDescent="0.25">
      <c r="C709" s="67"/>
      <c r="D709" s="88"/>
      <c r="E709" s="89"/>
      <c r="F709" s="89"/>
      <c r="G709" s="89"/>
    </row>
    <row r="710" spans="3:7" x14ac:dyDescent="0.25">
      <c r="C710" s="67"/>
      <c r="D710" s="88"/>
      <c r="E710" s="89"/>
      <c r="F710" s="89"/>
      <c r="G710" s="89"/>
    </row>
    <row r="711" spans="3:7" x14ac:dyDescent="0.25">
      <c r="C711" s="67"/>
      <c r="D711" s="88"/>
      <c r="E711" s="89"/>
      <c r="F711" s="89"/>
      <c r="G711" s="89"/>
    </row>
    <row r="712" spans="3:7" x14ac:dyDescent="0.25">
      <c r="C712" s="67"/>
      <c r="D712" s="88"/>
      <c r="E712" s="89"/>
      <c r="F712" s="89"/>
      <c r="G712" s="89"/>
    </row>
    <row r="713" spans="3:7" x14ac:dyDescent="0.25">
      <c r="C713" s="67"/>
      <c r="D713" s="88"/>
      <c r="E713" s="89"/>
      <c r="F713" s="89"/>
      <c r="G713" s="89"/>
    </row>
    <row r="714" spans="3:7" x14ac:dyDescent="0.25">
      <c r="C714" s="67"/>
      <c r="D714" s="88"/>
      <c r="E714" s="89"/>
      <c r="F714" s="89"/>
      <c r="G714" s="89"/>
    </row>
    <row r="715" spans="3:7" x14ac:dyDescent="0.25">
      <c r="C715" s="67"/>
      <c r="D715" s="88"/>
      <c r="E715" s="89"/>
      <c r="F715" s="89"/>
      <c r="G715" s="89"/>
    </row>
    <row r="716" spans="3:7" x14ac:dyDescent="0.25">
      <c r="C716" s="67"/>
      <c r="D716" s="88"/>
      <c r="E716" s="89"/>
      <c r="F716" s="89"/>
      <c r="G716" s="89"/>
    </row>
    <row r="717" spans="3:7" x14ac:dyDescent="0.25">
      <c r="C717" s="67"/>
      <c r="D717" s="88"/>
      <c r="E717" s="89"/>
      <c r="F717" s="89"/>
      <c r="G717" s="89"/>
    </row>
    <row r="718" spans="3:7" x14ac:dyDescent="0.25">
      <c r="C718" s="67"/>
      <c r="D718" s="88"/>
      <c r="E718" s="89"/>
      <c r="F718" s="89"/>
      <c r="G718" s="89"/>
    </row>
    <row r="719" spans="3:7" x14ac:dyDescent="0.25">
      <c r="C719" s="67"/>
      <c r="D719" s="88"/>
      <c r="E719" s="89"/>
      <c r="F719" s="89"/>
      <c r="G719" s="89"/>
    </row>
    <row r="720" spans="3:7" x14ac:dyDescent="0.25">
      <c r="C720" s="67"/>
      <c r="D720" s="88"/>
      <c r="E720" s="89"/>
      <c r="F720" s="89"/>
      <c r="G720" s="89"/>
    </row>
    <row r="721" spans="3:7" x14ac:dyDescent="0.25">
      <c r="C721" s="67"/>
      <c r="D721" s="88"/>
      <c r="E721" s="89"/>
      <c r="F721" s="89"/>
      <c r="G721" s="89"/>
    </row>
    <row r="722" spans="3:7" x14ac:dyDescent="0.25">
      <c r="C722" s="67"/>
      <c r="D722" s="88"/>
      <c r="E722" s="89"/>
      <c r="F722" s="89"/>
      <c r="G722" s="89"/>
    </row>
    <row r="723" spans="3:7" x14ac:dyDescent="0.25">
      <c r="C723" s="67"/>
      <c r="D723" s="88"/>
      <c r="E723" s="89"/>
      <c r="F723" s="89"/>
      <c r="G723" s="89"/>
    </row>
    <row r="724" spans="3:7" x14ac:dyDescent="0.25">
      <c r="C724" s="67"/>
      <c r="D724" s="88"/>
      <c r="E724" s="89"/>
      <c r="F724" s="89"/>
      <c r="G724" s="89"/>
    </row>
    <row r="725" spans="3:7" x14ac:dyDescent="0.25">
      <c r="C725" s="67"/>
      <c r="D725" s="88"/>
      <c r="E725" s="89"/>
      <c r="F725" s="89"/>
      <c r="G725" s="89"/>
    </row>
    <row r="726" spans="3:7" x14ac:dyDescent="0.25">
      <c r="C726" s="67"/>
      <c r="D726" s="88"/>
      <c r="E726" s="89"/>
      <c r="F726" s="89"/>
      <c r="G726" s="89"/>
    </row>
    <row r="727" spans="3:7" x14ac:dyDescent="0.25">
      <c r="C727" s="67"/>
      <c r="D727" s="88"/>
      <c r="E727" s="89"/>
      <c r="F727" s="89"/>
      <c r="G727" s="89"/>
    </row>
    <row r="728" spans="3:7" x14ac:dyDescent="0.25">
      <c r="C728" s="67"/>
      <c r="D728" s="88"/>
      <c r="E728" s="89"/>
      <c r="F728" s="89"/>
      <c r="G728" s="89"/>
    </row>
    <row r="729" spans="3:7" x14ac:dyDescent="0.25">
      <c r="C729" s="67"/>
      <c r="D729" s="88"/>
      <c r="E729" s="89"/>
      <c r="F729" s="89"/>
      <c r="G729" s="89"/>
    </row>
    <row r="730" spans="3:7" x14ac:dyDescent="0.25">
      <c r="C730" s="67"/>
      <c r="D730" s="88"/>
      <c r="E730" s="89"/>
      <c r="F730" s="89"/>
      <c r="G730" s="89"/>
    </row>
    <row r="731" spans="3:7" x14ac:dyDescent="0.25">
      <c r="C731" s="67"/>
      <c r="D731" s="88"/>
      <c r="E731" s="89"/>
      <c r="F731" s="89"/>
      <c r="G731" s="89"/>
    </row>
    <row r="732" spans="3:7" x14ac:dyDescent="0.25">
      <c r="C732" s="67"/>
      <c r="D732" s="88"/>
      <c r="E732" s="89"/>
      <c r="F732" s="89"/>
      <c r="G732" s="89"/>
    </row>
    <row r="733" spans="3:7" x14ac:dyDescent="0.25">
      <c r="C733" s="67"/>
      <c r="D733" s="88"/>
      <c r="E733" s="89"/>
      <c r="F733" s="89"/>
      <c r="G733" s="89"/>
    </row>
    <row r="734" spans="3:7" x14ac:dyDescent="0.25">
      <c r="C734" s="67"/>
      <c r="D734" s="88"/>
      <c r="E734" s="89"/>
      <c r="F734" s="89"/>
      <c r="G734" s="89"/>
    </row>
    <row r="735" spans="3:7" x14ac:dyDescent="0.25">
      <c r="C735" s="67"/>
      <c r="D735" s="88"/>
      <c r="E735" s="89"/>
      <c r="F735" s="89"/>
      <c r="G735" s="89"/>
    </row>
    <row r="736" spans="3:7" x14ac:dyDescent="0.25">
      <c r="C736" s="67"/>
      <c r="D736" s="88"/>
      <c r="E736" s="89"/>
      <c r="F736" s="89"/>
      <c r="G736" s="89"/>
    </row>
    <row r="737" spans="3:7" x14ac:dyDescent="0.25">
      <c r="C737" s="67"/>
      <c r="D737" s="88"/>
      <c r="E737" s="89"/>
      <c r="F737" s="89"/>
      <c r="G737" s="89"/>
    </row>
    <row r="738" spans="3:7" x14ac:dyDescent="0.25">
      <c r="C738" s="67"/>
      <c r="D738" s="88"/>
      <c r="E738" s="89"/>
      <c r="F738" s="89"/>
      <c r="G738" s="89"/>
    </row>
    <row r="739" spans="3:7" x14ac:dyDescent="0.25">
      <c r="C739" s="67"/>
      <c r="D739" s="88"/>
      <c r="E739" s="89"/>
      <c r="F739" s="89"/>
      <c r="G739" s="89"/>
    </row>
    <row r="740" spans="3:7" x14ac:dyDescent="0.25">
      <c r="C740" s="67"/>
      <c r="D740" s="88"/>
      <c r="E740" s="89"/>
      <c r="F740" s="89"/>
      <c r="G740" s="89"/>
    </row>
    <row r="741" spans="3:7" x14ac:dyDescent="0.25">
      <c r="C741" s="67"/>
      <c r="D741" s="88"/>
      <c r="E741" s="89"/>
      <c r="F741" s="89"/>
      <c r="G741" s="89"/>
    </row>
    <row r="742" spans="3:7" x14ac:dyDescent="0.25">
      <c r="C742" s="67"/>
      <c r="D742" s="88"/>
      <c r="E742" s="89"/>
      <c r="F742" s="89"/>
      <c r="G742" s="89"/>
    </row>
    <row r="743" spans="3:7" x14ac:dyDescent="0.25">
      <c r="C743" s="67"/>
      <c r="D743" s="88"/>
      <c r="E743" s="89"/>
      <c r="F743" s="89"/>
      <c r="G743" s="89"/>
    </row>
    <row r="744" spans="3:7" x14ac:dyDescent="0.25">
      <c r="C744" s="67"/>
      <c r="D744" s="88"/>
      <c r="E744" s="89"/>
      <c r="F744" s="89"/>
      <c r="G744" s="89"/>
    </row>
    <row r="745" spans="3:7" x14ac:dyDescent="0.25">
      <c r="C745" s="67"/>
      <c r="D745" s="88"/>
      <c r="E745" s="89"/>
      <c r="F745" s="89"/>
      <c r="G745" s="89"/>
    </row>
    <row r="746" spans="3:7" x14ac:dyDescent="0.25">
      <c r="C746" s="67"/>
      <c r="D746" s="88"/>
      <c r="E746" s="89"/>
      <c r="F746" s="89"/>
      <c r="G746" s="89"/>
    </row>
    <row r="747" spans="3:7" x14ac:dyDescent="0.25">
      <c r="C747" s="67"/>
      <c r="D747" s="88"/>
      <c r="E747" s="89"/>
      <c r="F747" s="89"/>
      <c r="G747" s="89"/>
    </row>
    <row r="748" spans="3:7" x14ac:dyDescent="0.25">
      <c r="C748" s="67"/>
      <c r="D748" s="88"/>
      <c r="E748" s="89"/>
      <c r="F748" s="89"/>
      <c r="G748" s="89"/>
    </row>
    <row r="749" spans="3:7" x14ac:dyDescent="0.25">
      <c r="C749" s="67"/>
      <c r="D749" s="88"/>
      <c r="E749" s="89"/>
      <c r="F749" s="89"/>
      <c r="G749" s="89"/>
    </row>
    <row r="750" spans="3:7" x14ac:dyDescent="0.25">
      <c r="C750" s="67"/>
      <c r="D750" s="88"/>
      <c r="E750" s="89"/>
      <c r="F750" s="89"/>
      <c r="G750" s="89"/>
    </row>
    <row r="751" spans="3:7" x14ac:dyDescent="0.25">
      <c r="C751" s="67"/>
      <c r="D751" s="88"/>
      <c r="E751" s="89"/>
      <c r="F751" s="89"/>
      <c r="G751" s="89"/>
    </row>
    <row r="752" spans="3:7" x14ac:dyDescent="0.25">
      <c r="C752" s="67"/>
      <c r="D752" s="88"/>
      <c r="E752" s="89"/>
      <c r="F752" s="89"/>
      <c r="G752" s="89"/>
    </row>
    <row r="753" spans="3:7" x14ac:dyDescent="0.25">
      <c r="C753" s="67"/>
      <c r="D753" s="88"/>
      <c r="E753" s="89"/>
      <c r="F753" s="89"/>
      <c r="G753" s="89"/>
    </row>
    <row r="754" spans="3:7" x14ac:dyDescent="0.25">
      <c r="C754" s="67"/>
      <c r="D754" s="88"/>
      <c r="E754" s="89"/>
      <c r="F754" s="89"/>
      <c r="G754" s="89"/>
    </row>
    <row r="755" spans="3:7" x14ac:dyDescent="0.25">
      <c r="C755" s="67"/>
      <c r="D755" s="88"/>
      <c r="E755" s="89"/>
      <c r="F755" s="89"/>
      <c r="G755" s="89"/>
    </row>
    <row r="756" spans="3:7" x14ac:dyDescent="0.25">
      <c r="C756" s="67"/>
      <c r="D756" s="88"/>
      <c r="E756" s="89"/>
      <c r="F756" s="89"/>
      <c r="G756" s="89"/>
    </row>
    <row r="757" spans="3:7" x14ac:dyDescent="0.25">
      <c r="C757" s="67"/>
      <c r="D757" s="88"/>
      <c r="E757" s="89"/>
      <c r="F757" s="89"/>
      <c r="G757" s="89"/>
    </row>
    <row r="758" spans="3:7" x14ac:dyDescent="0.25">
      <c r="C758" s="67"/>
      <c r="D758" s="88"/>
      <c r="E758" s="89"/>
      <c r="F758" s="89"/>
      <c r="G758" s="89"/>
    </row>
    <row r="759" spans="3:7" x14ac:dyDescent="0.25">
      <c r="C759" s="67"/>
      <c r="D759" s="88"/>
      <c r="E759" s="89"/>
      <c r="F759" s="89"/>
      <c r="G759" s="89"/>
    </row>
    <row r="760" spans="3:7" x14ac:dyDescent="0.25">
      <c r="C760" s="67"/>
      <c r="D760" s="88"/>
      <c r="E760" s="89"/>
      <c r="F760" s="89"/>
      <c r="G760" s="89"/>
    </row>
    <row r="761" spans="3:7" x14ac:dyDescent="0.25">
      <c r="C761" s="67"/>
      <c r="D761" s="88"/>
      <c r="E761" s="89"/>
      <c r="F761" s="89"/>
      <c r="G761" s="89"/>
    </row>
    <row r="762" spans="3:7" x14ac:dyDescent="0.25">
      <c r="C762" s="67"/>
      <c r="D762" s="88"/>
      <c r="E762" s="89"/>
      <c r="F762" s="89"/>
      <c r="G762" s="89"/>
    </row>
    <row r="763" spans="3:7" x14ac:dyDescent="0.25">
      <c r="C763" s="67"/>
      <c r="D763" s="88"/>
      <c r="E763" s="89"/>
      <c r="F763" s="89"/>
      <c r="G763" s="89"/>
    </row>
    <row r="764" spans="3:7" x14ac:dyDescent="0.25">
      <c r="C764" s="67"/>
      <c r="D764" s="88"/>
      <c r="E764" s="89"/>
      <c r="F764" s="89"/>
      <c r="G764" s="89"/>
    </row>
    <row r="765" spans="3:7" x14ac:dyDescent="0.25">
      <c r="C765" s="67"/>
      <c r="D765" s="88"/>
      <c r="E765" s="89"/>
      <c r="F765" s="89"/>
      <c r="G765" s="89"/>
    </row>
    <row r="766" spans="3:7" x14ac:dyDescent="0.25">
      <c r="C766" s="67"/>
      <c r="D766" s="88"/>
      <c r="E766" s="89"/>
      <c r="F766" s="89"/>
      <c r="G766" s="89"/>
    </row>
    <row r="767" spans="3:7" x14ac:dyDescent="0.25">
      <c r="C767" s="67"/>
      <c r="D767" s="88"/>
      <c r="E767" s="89"/>
      <c r="F767" s="89"/>
      <c r="G767" s="89"/>
    </row>
    <row r="768" spans="3:7" x14ac:dyDescent="0.25">
      <c r="C768" s="67"/>
      <c r="D768" s="88"/>
      <c r="E768" s="89"/>
      <c r="F768" s="89"/>
      <c r="G768" s="89"/>
    </row>
    <row r="769" spans="3:7" x14ac:dyDescent="0.25">
      <c r="C769" s="67"/>
      <c r="D769" s="88"/>
      <c r="E769" s="89"/>
      <c r="F769" s="89"/>
      <c r="G769" s="89"/>
    </row>
    <row r="770" spans="3:7" x14ac:dyDescent="0.25">
      <c r="C770" s="67"/>
      <c r="D770" s="88"/>
      <c r="E770" s="89"/>
      <c r="F770" s="89"/>
      <c r="G770" s="89"/>
    </row>
    <row r="771" spans="3:7" x14ac:dyDescent="0.25">
      <c r="C771" s="67"/>
      <c r="D771" s="88"/>
      <c r="E771" s="89"/>
      <c r="F771" s="89"/>
      <c r="G771" s="89"/>
    </row>
    <row r="772" spans="3:7" x14ac:dyDescent="0.25">
      <c r="C772" s="67"/>
      <c r="D772" s="88"/>
      <c r="E772" s="89"/>
      <c r="F772" s="89"/>
      <c r="G772" s="89"/>
    </row>
    <row r="773" spans="3:7" x14ac:dyDescent="0.25">
      <c r="C773" s="67"/>
      <c r="D773" s="88"/>
      <c r="E773" s="89"/>
      <c r="F773" s="89"/>
      <c r="G773" s="89"/>
    </row>
    <row r="774" spans="3:7" x14ac:dyDescent="0.25">
      <c r="C774" s="67"/>
      <c r="D774" s="88"/>
      <c r="E774" s="89"/>
      <c r="F774" s="89"/>
      <c r="G774" s="89"/>
    </row>
    <row r="775" spans="3:7" x14ac:dyDescent="0.25">
      <c r="C775" s="67"/>
      <c r="D775" s="88"/>
      <c r="E775" s="89"/>
      <c r="F775" s="89"/>
      <c r="G775" s="89"/>
    </row>
    <row r="776" spans="3:7" x14ac:dyDescent="0.25">
      <c r="C776" s="67"/>
      <c r="D776" s="88"/>
      <c r="E776" s="89"/>
      <c r="F776" s="89"/>
      <c r="G776" s="89"/>
    </row>
    <row r="777" spans="3:7" x14ac:dyDescent="0.25">
      <c r="C777" s="67"/>
      <c r="D777" s="88"/>
      <c r="E777" s="89"/>
      <c r="F777" s="89"/>
      <c r="G777" s="89"/>
    </row>
    <row r="778" spans="3:7" x14ac:dyDescent="0.25">
      <c r="C778" s="67"/>
      <c r="D778" s="88"/>
      <c r="E778" s="89"/>
      <c r="F778" s="89"/>
      <c r="G778" s="89"/>
    </row>
    <row r="779" spans="3:7" x14ac:dyDescent="0.25">
      <c r="C779" s="67"/>
      <c r="D779" s="88"/>
      <c r="E779" s="89"/>
      <c r="F779" s="89"/>
      <c r="G779" s="89"/>
    </row>
    <row r="780" spans="3:7" x14ac:dyDescent="0.25">
      <c r="C780" s="67"/>
      <c r="D780" s="88"/>
      <c r="E780" s="89"/>
      <c r="F780" s="89"/>
      <c r="G780" s="89"/>
    </row>
    <row r="781" spans="3:7" x14ac:dyDescent="0.25">
      <c r="C781" s="67"/>
      <c r="D781" s="88"/>
      <c r="E781" s="89"/>
      <c r="F781" s="89"/>
      <c r="G781" s="89"/>
    </row>
    <row r="782" spans="3:7" x14ac:dyDescent="0.25">
      <c r="C782" s="67"/>
      <c r="D782" s="88"/>
      <c r="E782" s="89"/>
      <c r="F782" s="89"/>
      <c r="G782" s="89"/>
    </row>
    <row r="783" spans="3:7" x14ac:dyDescent="0.25">
      <c r="C783" s="67"/>
      <c r="D783" s="88"/>
      <c r="E783" s="89"/>
      <c r="F783" s="89"/>
      <c r="G783" s="89"/>
    </row>
    <row r="784" spans="3:7" x14ac:dyDescent="0.25">
      <c r="C784" s="67"/>
      <c r="D784" s="88"/>
      <c r="E784" s="89"/>
      <c r="F784" s="89"/>
      <c r="G784" s="89"/>
    </row>
    <row r="785" spans="3:7" x14ac:dyDescent="0.25">
      <c r="C785" s="67"/>
      <c r="D785" s="88"/>
      <c r="E785" s="89"/>
      <c r="F785" s="89"/>
      <c r="G785" s="89"/>
    </row>
    <row r="786" spans="3:7" x14ac:dyDescent="0.25">
      <c r="C786" s="67"/>
      <c r="D786" s="88"/>
      <c r="E786" s="89"/>
      <c r="F786" s="89"/>
      <c r="G786" s="89"/>
    </row>
    <row r="787" spans="3:7" x14ac:dyDescent="0.25">
      <c r="C787" s="67"/>
      <c r="D787" s="88"/>
      <c r="E787" s="89"/>
      <c r="F787" s="89"/>
      <c r="G787" s="89"/>
    </row>
    <row r="788" spans="3:7" x14ac:dyDescent="0.25">
      <c r="C788" s="67"/>
      <c r="D788" s="88"/>
      <c r="E788" s="89"/>
      <c r="F788" s="89"/>
      <c r="G788" s="89"/>
    </row>
    <row r="789" spans="3:7" x14ac:dyDescent="0.25">
      <c r="C789" s="67"/>
      <c r="D789" s="88"/>
      <c r="E789" s="89"/>
      <c r="F789" s="89"/>
      <c r="G789" s="89"/>
    </row>
    <row r="790" spans="3:7" x14ac:dyDescent="0.25">
      <c r="C790" s="67"/>
      <c r="D790" s="88"/>
      <c r="E790" s="89"/>
      <c r="F790" s="89"/>
      <c r="G790" s="89"/>
    </row>
    <row r="791" spans="3:7" x14ac:dyDescent="0.25">
      <c r="C791" s="67"/>
      <c r="D791" s="88"/>
      <c r="E791" s="89"/>
      <c r="F791" s="89"/>
      <c r="G791" s="89"/>
    </row>
    <row r="792" spans="3:7" x14ac:dyDescent="0.25">
      <c r="C792" s="67"/>
      <c r="D792" s="88"/>
      <c r="E792" s="89"/>
      <c r="F792" s="89"/>
      <c r="G792" s="89"/>
    </row>
    <row r="793" spans="3:7" x14ac:dyDescent="0.25">
      <c r="C793" s="67"/>
      <c r="D793" s="88"/>
      <c r="E793" s="89"/>
      <c r="F793" s="89"/>
      <c r="G793" s="89"/>
    </row>
    <row r="794" spans="3:7" x14ac:dyDescent="0.25">
      <c r="C794" s="67"/>
      <c r="D794" s="88"/>
      <c r="E794" s="89"/>
      <c r="F794" s="89"/>
      <c r="G794" s="89"/>
    </row>
    <row r="795" spans="3:7" x14ac:dyDescent="0.25">
      <c r="C795" s="67"/>
      <c r="D795" s="88"/>
      <c r="E795" s="89"/>
      <c r="F795" s="89"/>
      <c r="G795" s="89"/>
    </row>
    <row r="796" spans="3:7" x14ac:dyDescent="0.25">
      <c r="C796" s="67"/>
      <c r="D796" s="88"/>
      <c r="E796" s="89"/>
      <c r="F796" s="89"/>
      <c r="G796" s="89"/>
    </row>
    <row r="797" spans="3:7" x14ac:dyDescent="0.25">
      <c r="C797" s="67"/>
      <c r="D797" s="88"/>
      <c r="E797" s="89"/>
      <c r="F797" s="89"/>
      <c r="G797" s="89"/>
    </row>
    <row r="798" spans="3:7" x14ac:dyDescent="0.25">
      <c r="C798" s="67"/>
      <c r="D798" s="88"/>
      <c r="E798" s="89"/>
      <c r="F798" s="89"/>
      <c r="G798" s="89"/>
    </row>
    <row r="799" spans="3:7" x14ac:dyDescent="0.25">
      <c r="C799" s="67"/>
      <c r="D799" s="88"/>
      <c r="E799" s="89"/>
      <c r="F799" s="89"/>
      <c r="G799" s="89"/>
    </row>
    <row r="800" spans="3:7" x14ac:dyDescent="0.25">
      <c r="C800" s="67"/>
      <c r="D800" s="88"/>
      <c r="E800" s="89"/>
      <c r="F800" s="89"/>
      <c r="G800" s="89"/>
    </row>
    <row r="801" spans="3:7" x14ac:dyDescent="0.25">
      <c r="C801" s="67"/>
      <c r="D801" s="88"/>
      <c r="E801" s="89"/>
      <c r="F801" s="89"/>
      <c r="G801" s="89"/>
    </row>
    <row r="802" spans="3:7" x14ac:dyDescent="0.25">
      <c r="C802" s="67"/>
      <c r="D802" s="88"/>
      <c r="E802" s="89"/>
      <c r="F802" s="89"/>
      <c r="G802" s="89"/>
    </row>
    <row r="803" spans="3:7" x14ac:dyDescent="0.25">
      <c r="C803" s="67"/>
      <c r="D803" s="88"/>
      <c r="E803" s="89"/>
      <c r="F803" s="89"/>
      <c r="G803" s="89"/>
    </row>
    <row r="804" spans="3:7" x14ac:dyDescent="0.25">
      <c r="C804" s="67"/>
      <c r="D804" s="88"/>
      <c r="E804" s="89"/>
      <c r="F804" s="89"/>
      <c r="G804" s="89"/>
    </row>
    <row r="805" spans="3:7" x14ac:dyDescent="0.25">
      <c r="C805" s="67"/>
      <c r="D805" s="88"/>
      <c r="E805" s="89"/>
      <c r="F805" s="89"/>
      <c r="G805" s="89"/>
    </row>
    <row r="806" spans="3:7" x14ac:dyDescent="0.25">
      <c r="C806" s="67"/>
      <c r="D806" s="88"/>
      <c r="E806" s="89"/>
      <c r="F806" s="89"/>
      <c r="G806" s="89"/>
    </row>
    <row r="807" spans="3:7" x14ac:dyDescent="0.25">
      <c r="C807" s="67"/>
      <c r="D807" s="88"/>
      <c r="E807" s="89"/>
      <c r="F807" s="89"/>
      <c r="G807" s="89"/>
    </row>
    <row r="808" spans="3:7" x14ac:dyDescent="0.25">
      <c r="C808" s="67"/>
      <c r="D808" s="88"/>
      <c r="E808" s="89"/>
      <c r="F808" s="89"/>
      <c r="G808" s="89"/>
    </row>
    <row r="809" spans="3:7" x14ac:dyDescent="0.25">
      <c r="C809" s="67"/>
      <c r="D809" s="88"/>
      <c r="E809" s="89"/>
      <c r="F809" s="89"/>
      <c r="G809" s="89"/>
    </row>
    <row r="810" spans="3:7" x14ac:dyDescent="0.25">
      <c r="C810" s="67"/>
      <c r="D810" s="88"/>
      <c r="E810" s="89"/>
      <c r="F810" s="89"/>
      <c r="G810" s="89"/>
    </row>
    <row r="811" spans="3:7" x14ac:dyDescent="0.25">
      <c r="C811" s="67"/>
      <c r="D811" s="88"/>
      <c r="E811" s="89"/>
      <c r="F811" s="89"/>
      <c r="G811" s="89"/>
    </row>
    <row r="812" spans="3:7" x14ac:dyDescent="0.25">
      <c r="C812" s="67"/>
      <c r="D812" s="88"/>
      <c r="E812" s="89"/>
      <c r="F812" s="89"/>
      <c r="G812" s="89"/>
    </row>
    <row r="813" spans="3:7" x14ac:dyDescent="0.25">
      <c r="C813" s="67"/>
      <c r="D813" s="88"/>
      <c r="E813" s="89"/>
      <c r="F813" s="89"/>
      <c r="G813" s="89"/>
    </row>
    <row r="814" spans="3:7" x14ac:dyDescent="0.25">
      <c r="C814" s="67"/>
      <c r="D814" s="88"/>
      <c r="E814" s="89"/>
      <c r="F814" s="89"/>
      <c r="G814" s="89"/>
    </row>
    <row r="815" spans="3:7" x14ac:dyDescent="0.25">
      <c r="C815" s="67"/>
      <c r="D815" s="88"/>
      <c r="E815" s="89"/>
      <c r="F815" s="89"/>
      <c r="G815" s="89"/>
    </row>
    <row r="816" spans="3:7" x14ac:dyDescent="0.25">
      <c r="C816" s="67"/>
      <c r="D816" s="88"/>
      <c r="E816" s="89"/>
      <c r="F816" s="89"/>
      <c r="G816" s="89"/>
    </row>
    <row r="817" spans="3:7" x14ac:dyDescent="0.25">
      <c r="C817" s="67"/>
      <c r="D817" s="88"/>
      <c r="E817" s="89"/>
      <c r="F817" s="89"/>
      <c r="G817" s="89"/>
    </row>
    <row r="818" spans="3:7" x14ac:dyDescent="0.25">
      <c r="C818" s="67"/>
      <c r="D818" s="88"/>
      <c r="E818" s="89"/>
      <c r="F818" s="89"/>
      <c r="G818" s="89"/>
    </row>
    <row r="819" spans="3:7" x14ac:dyDescent="0.25">
      <c r="C819" s="67"/>
      <c r="D819" s="88"/>
      <c r="E819" s="89"/>
      <c r="F819" s="89"/>
      <c r="G819" s="89"/>
    </row>
    <row r="820" spans="3:7" x14ac:dyDescent="0.25">
      <c r="C820" s="67"/>
      <c r="D820" s="88"/>
      <c r="E820" s="89"/>
      <c r="F820" s="89"/>
      <c r="G820" s="89"/>
    </row>
    <row r="821" spans="3:7" x14ac:dyDescent="0.25">
      <c r="C821" s="67"/>
      <c r="D821" s="88"/>
      <c r="E821" s="89"/>
      <c r="F821" s="89"/>
      <c r="G821" s="89"/>
    </row>
    <row r="822" spans="3:7" x14ac:dyDescent="0.25">
      <c r="C822" s="67"/>
      <c r="D822" s="88"/>
      <c r="E822" s="89"/>
      <c r="F822" s="89"/>
      <c r="G822" s="89"/>
    </row>
    <row r="823" spans="3:7" x14ac:dyDescent="0.25">
      <c r="C823" s="67"/>
      <c r="D823" s="88"/>
      <c r="E823" s="89"/>
      <c r="F823" s="89"/>
      <c r="G823" s="89"/>
    </row>
    <row r="824" spans="3:7" x14ac:dyDescent="0.25">
      <c r="C824" s="67"/>
      <c r="D824" s="88"/>
      <c r="E824" s="89"/>
      <c r="F824" s="89"/>
      <c r="G824" s="89"/>
    </row>
    <row r="825" spans="3:7" x14ac:dyDescent="0.25">
      <c r="C825" s="67"/>
      <c r="D825" s="88"/>
      <c r="E825" s="89"/>
      <c r="F825" s="89"/>
      <c r="G825" s="89"/>
    </row>
    <row r="826" spans="3:7" x14ac:dyDescent="0.25">
      <c r="C826" s="67"/>
      <c r="D826" s="88"/>
      <c r="E826" s="89"/>
      <c r="F826" s="89"/>
      <c r="G826" s="89"/>
    </row>
    <row r="827" spans="3:7" x14ac:dyDescent="0.25">
      <c r="C827" s="67"/>
      <c r="D827" s="88"/>
      <c r="E827" s="89"/>
      <c r="F827" s="89"/>
      <c r="G827" s="89"/>
    </row>
    <row r="828" spans="3:7" x14ac:dyDescent="0.25">
      <c r="C828" s="67"/>
      <c r="D828" s="88"/>
      <c r="E828" s="89"/>
      <c r="F828" s="89"/>
      <c r="G828" s="89"/>
    </row>
    <row r="829" spans="3:7" x14ac:dyDescent="0.25">
      <c r="C829" s="67"/>
      <c r="D829" s="88"/>
      <c r="E829" s="89"/>
      <c r="F829" s="89"/>
      <c r="G829" s="89"/>
    </row>
    <row r="830" spans="3:7" x14ac:dyDescent="0.25">
      <c r="C830" s="67"/>
      <c r="D830" s="88"/>
      <c r="E830" s="89"/>
      <c r="F830" s="89"/>
      <c r="G830" s="89"/>
    </row>
    <row r="831" spans="3:7" x14ac:dyDescent="0.25">
      <c r="C831" s="67"/>
      <c r="D831" s="88"/>
      <c r="E831" s="89"/>
      <c r="F831" s="89"/>
      <c r="G831" s="89"/>
    </row>
    <row r="832" spans="3:7" x14ac:dyDescent="0.25">
      <c r="C832" s="67"/>
      <c r="D832" s="88"/>
      <c r="E832" s="89"/>
      <c r="F832" s="89"/>
      <c r="G832" s="89"/>
    </row>
    <row r="833" spans="3:7" x14ac:dyDescent="0.25">
      <c r="C833" s="67"/>
      <c r="D833" s="88"/>
      <c r="E833" s="89"/>
      <c r="F833" s="89"/>
      <c r="G833" s="89"/>
    </row>
    <row r="834" spans="3:7" x14ac:dyDescent="0.25">
      <c r="C834" s="67"/>
      <c r="D834" s="88"/>
      <c r="E834" s="89"/>
      <c r="F834" s="89"/>
      <c r="G834" s="89"/>
    </row>
    <row r="835" spans="3:7" x14ac:dyDescent="0.25">
      <c r="C835" s="67"/>
      <c r="D835" s="88"/>
      <c r="E835" s="89"/>
      <c r="F835" s="89"/>
      <c r="G835" s="89"/>
    </row>
    <row r="836" spans="3:7" x14ac:dyDescent="0.25">
      <c r="C836" s="67"/>
      <c r="D836" s="88"/>
      <c r="E836" s="89"/>
      <c r="F836" s="89"/>
      <c r="G836" s="89"/>
    </row>
    <row r="837" spans="3:7" x14ac:dyDescent="0.25">
      <c r="C837" s="67"/>
      <c r="D837" s="88"/>
      <c r="E837" s="89"/>
      <c r="F837" s="89"/>
      <c r="G837" s="89"/>
    </row>
    <row r="838" spans="3:7" x14ac:dyDescent="0.25">
      <c r="C838" s="67"/>
      <c r="D838" s="88"/>
      <c r="E838" s="89"/>
      <c r="F838" s="89"/>
      <c r="G838" s="89"/>
    </row>
    <row r="839" spans="3:7" x14ac:dyDescent="0.25">
      <c r="C839" s="67"/>
      <c r="D839" s="88"/>
      <c r="E839" s="89"/>
      <c r="F839" s="89"/>
      <c r="G839" s="89"/>
    </row>
    <row r="840" spans="3:7" x14ac:dyDescent="0.25">
      <c r="C840" s="67"/>
      <c r="D840" s="88"/>
      <c r="E840" s="89"/>
      <c r="F840" s="89"/>
      <c r="G840" s="89"/>
    </row>
    <row r="841" spans="3:7" x14ac:dyDescent="0.25">
      <c r="C841" s="67"/>
      <c r="D841" s="88"/>
      <c r="E841" s="89"/>
      <c r="F841" s="89"/>
      <c r="G841" s="89"/>
    </row>
    <row r="842" spans="3:7" x14ac:dyDescent="0.25">
      <c r="C842" s="67"/>
      <c r="D842" s="88"/>
      <c r="E842" s="89"/>
      <c r="F842" s="89"/>
      <c r="G842" s="89"/>
    </row>
    <row r="843" spans="3:7" x14ac:dyDescent="0.25">
      <c r="C843" s="67"/>
      <c r="D843" s="88"/>
      <c r="E843" s="89"/>
      <c r="F843" s="89"/>
      <c r="G843" s="89"/>
    </row>
    <row r="844" spans="3:7" x14ac:dyDescent="0.25">
      <c r="C844" s="67"/>
      <c r="D844" s="88"/>
      <c r="E844" s="89"/>
      <c r="F844" s="89"/>
      <c r="G844" s="89"/>
    </row>
    <row r="845" spans="3:7" x14ac:dyDescent="0.25">
      <c r="C845" s="67"/>
      <c r="D845" s="88"/>
      <c r="E845" s="89"/>
      <c r="F845" s="89"/>
      <c r="G845" s="89"/>
    </row>
    <row r="846" spans="3:7" x14ac:dyDescent="0.25">
      <c r="C846" s="67"/>
      <c r="D846" s="88"/>
      <c r="E846" s="89"/>
      <c r="F846" s="89"/>
      <c r="G846" s="89"/>
    </row>
    <row r="847" spans="3:7" x14ac:dyDescent="0.25">
      <c r="C847" s="67"/>
      <c r="D847" s="88"/>
      <c r="E847" s="89"/>
      <c r="F847" s="89"/>
      <c r="G847" s="89"/>
    </row>
    <row r="848" spans="3:7" x14ac:dyDescent="0.25">
      <c r="C848" s="67"/>
      <c r="D848" s="88"/>
      <c r="E848" s="89"/>
      <c r="F848" s="89"/>
      <c r="G848" s="89"/>
    </row>
    <row r="849" spans="3:7" x14ac:dyDescent="0.25">
      <c r="C849" s="67"/>
      <c r="D849" s="88"/>
      <c r="E849" s="89"/>
      <c r="F849" s="89"/>
      <c r="G849" s="89"/>
    </row>
    <row r="850" spans="3:7" x14ac:dyDescent="0.25">
      <c r="C850" s="67"/>
      <c r="D850" s="88"/>
      <c r="E850" s="89"/>
      <c r="F850" s="89"/>
      <c r="G850" s="89"/>
    </row>
    <row r="851" spans="3:7" x14ac:dyDescent="0.25">
      <c r="C851" s="67"/>
      <c r="D851" s="88"/>
      <c r="E851" s="89"/>
      <c r="F851" s="89"/>
      <c r="G851" s="89"/>
    </row>
    <row r="852" spans="3:7" x14ac:dyDescent="0.25">
      <c r="C852" s="67"/>
      <c r="D852" s="88"/>
      <c r="E852" s="89"/>
      <c r="F852" s="89"/>
      <c r="G852" s="89"/>
    </row>
    <row r="853" spans="3:7" x14ac:dyDescent="0.25">
      <c r="C853" s="67"/>
      <c r="D853" s="88"/>
      <c r="E853" s="89"/>
      <c r="F853" s="89"/>
      <c r="G853" s="89"/>
    </row>
    <row r="854" spans="3:7" x14ac:dyDescent="0.25">
      <c r="C854" s="67"/>
      <c r="D854" s="88"/>
      <c r="E854" s="89"/>
      <c r="F854" s="89"/>
      <c r="G854" s="89"/>
    </row>
    <row r="855" spans="3:7" x14ac:dyDescent="0.25">
      <c r="C855" s="67"/>
      <c r="D855" s="88"/>
      <c r="E855" s="89"/>
      <c r="F855" s="89"/>
      <c r="G855" s="89"/>
    </row>
    <row r="856" spans="3:7" x14ac:dyDescent="0.25">
      <c r="C856" s="67"/>
      <c r="D856" s="88"/>
      <c r="E856" s="89"/>
      <c r="F856" s="89"/>
      <c r="G856" s="89"/>
    </row>
    <row r="857" spans="3:7" x14ac:dyDescent="0.25">
      <c r="C857" s="67"/>
      <c r="D857" s="88"/>
      <c r="E857" s="89"/>
      <c r="F857" s="89"/>
      <c r="G857" s="89"/>
    </row>
    <row r="858" spans="3:7" x14ac:dyDescent="0.25">
      <c r="C858" s="67"/>
      <c r="D858" s="88"/>
      <c r="E858" s="89"/>
      <c r="F858" s="89"/>
      <c r="G858" s="89"/>
    </row>
    <row r="859" spans="3:7" x14ac:dyDescent="0.25">
      <c r="C859" s="67"/>
      <c r="D859" s="88"/>
      <c r="E859" s="89"/>
      <c r="F859" s="89"/>
      <c r="G859" s="89"/>
    </row>
    <row r="860" spans="3:7" x14ac:dyDescent="0.25">
      <c r="C860" s="67"/>
      <c r="D860" s="88"/>
      <c r="E860" s="89"/>
      <c r="F860" s="89"/>
      <c r="G860" s="89"/>
    </row>
    <row r="861" spans="3:7" x14ac:dyDescent="0.25">
      <c r="C861" s="67"/>
      <c r="D861" s="88"/>
      <c r="E861" s="89"/>
      <c r="F861" s="89"/>
      <c r="G861" s="89"/>
    </row>
    <row r="862" spans="3:7" x14ac:dyDescent="0.25">
      <c r="C862" s="67"/>
      <c r="D862" s="88"/>
      <c r="E862" s="89"/>
      <c r="F862" s="89"/>
      <c r="G862" s="89"/>
    </row>
    <row r="863" spans="3:7" x14ac:dyDescent="0.25">
      <c r="C863" s="67"/>
      <c r="D863" s="88"/>
      <c r="E863" s="89"/>
      <c r="F863" s="89"/>
      <c r="G863" s="89"/>
    </row>
    <row r="864" spans="3:7" x14ac:dyDescent="0.25">
      <c r="C864" s="67"/>
      <c r="D864" s="88"/>
      <c r="E864" s="89"/>
      <c r="F864" s="89"/>
      <c r="G864" s="89"/>
    </row>
    <row r="865" spans="3:7" x14ac:dyDescent="0.25">
      <c r="C865" s="67"/>
      <c r="D865" s="88"/>
      <c r="E865" s="89"/>
      <c r="F865" s="89"/>
      <c r="G865" s="89"/>
    </row>
    <row r="866" spans="3:7" x14ac:dyDescent="0.25">
      <c r="C866" s="67"/>
      <c r="D866" s="88"/>
      <c r="E866" s="89"/>
      <c r="F866" s="89"/>
      <c r="G866" s="89"/>
    </row>
    <row r="867" spans="3:7" x14ac:dyDescent="0.25">
      <c r="C867" s="67"/>
      <c r="D867" s="88"/>
      <c r="E867" s="89"/>
      <c r="F867" s="89"/>
      <c r="G867" s="89"/>
    </row>
    <row r="868" spans="3:7" x14ac:dyDescent="0.25">
      <c r="C868" s="67"/>
      <c r="D868" s="88"/>
      <c r="E868" s="89"/>
      <c r="F868" s="89"/>
      <c r="G868" s="89"/>
    </row>
    <row r="869" spans="3:7" x14ac:dyDescent="0.25">
      <c r="C869" s="67"/>
      <c r="D869" s="88"/>
      <c r="E869" s="89"/>
      <c r="F869" s="89"/>
      <c r="G869" s="89"/>
    </row>
    <row r="870" spans="3:7" x14ac:dyDescent="0.25">
      <c r="C870" s="67"/>
      <c r="D870" s="88"/>
      <c r="E870" s="89"/>
      <c r="F870" s="89"/>
      <c r="G870" s="89"/>
    </row>
    <row r="871" spans="3:7" x14ac:dyDescent="0.25">
      <c r="C871" s="67"/>
      <c r="D871" s="88"/>
      <c r="E871" s="89"/>
      <c r="F871" s="89"/>
      <c r="G871" s="89"/>
    </row>
    <row r="872" spans="3:7" x14ac:dyDescent="0.25">
      <c r="C872" s="67"/>
      <c r="D872" s="88"/>
      <c r="E872" s="89"/>
      <c r="F872" s="89"/>
      <c r="G872" s="89"/>
    </row>
    <row r="873" spans="3:7" x14ac:dyDescent="0.25">
      <c r="C873" s="67"/>
      <c r="D873" s="88"/>
      <c r="E873" s="89"/>
      <c r="F873" s="89"/>
      <c r="G873" s="89"/>
    </row>
    <row r="874" spans="3:7" x14ac:dyDescent="0.25">
      <c r="C874" s="67"/>
      <c r="D874" s="88"/>
      <c r="E874" s="89"/>
      <c r="F874" s="89"/>
      <c r="G874" s="89"/>
    </row>
    <row r="875" spans="3:7" x14ac:dyDescent="0.25">
      <c r="C875" s="67"/>
      <c r="D875" s="88"/>
      <c r="E875" s="89"/>
      <c r="F875" s="89"/>
      <c r="G875" s="89"/>
    </row>
    <row r="876" spans="3:7" x14ac:dyDescent="0.25">
      <c r="C876" s="67"/>
      <c r="D876" s="88"/>
      <c r="E876" s="89"/>
      <c r="F876" s="89"/>
      <c r="G876" s="89"/>
    </row>
    <row r="877" spans="3:7" x14ac:dyDescent="0.25">
      <c r="C877" s="67"/>
      <c r="D877" s="88"/>
      <c r="E877" s="89"/>
      <c r="F877" s="89"/>
      <c r="G877" s="89"/>
    </row>
    <row r="878" spans="3:7" x14ac:dyDescent="0.25">
      <c r="C878" s="67"/>
      <c r="D878" s="88"/>
      <c r="E878" s="89"/>
      <c r="F878" s="89"/>
      <c r="G878" s="89"/>
    </row>
    <row r="879" spans="3:7" x14ac:dyDescent="0.25">
      <c r="C879" s="67"/>
      <c r="D879" s="88"/>
      <c r="E879" s="89"/>
      <c r="F879" s="89"/>
      <c r="G879" s="89"/>
    </row>
    <row r="880" spans="3:7" x14ac:dyDescent="0.25">
      <c r="C880" s="67"/>
      <c r="D880" s="88"/>
      <c r="E880" s="89"/>
      <c r="F880" s="89"/>
      <c r="G880" s="89"/>
    </row>
    <row r="881" spans="3:7" x14ac:dyDescent="0.25">
      <c r="C881" s="67"/>
      <c r="D881" s="88"/>
      <c r="E881" s="89"/>
      <c r="F881" s="89"/>
      <c r="G881" s="89"/>
    </row>
    <row r="882" spans="3:7" x14ac:dyDescent="0.25">
      <c r="C882" s="67"/>
      <c r="D882" s="88"/>
      <c r="E882" s="89"/>
      <c r="F882" s="89"/>
      <c r="G882" s="89"/>
    </row>
    <row r="883" spans="3:7" x14ac:dyDescent="0.25">
      <c r="C883" s="67"/>
      <c r="D883" s="88"/>
      <c r="E883" s="89"/>
      <c r="F883" s="89"/>
      <c r="G883" s="89"/>
    </row>
    <row r="884" spans="3:7" x14ac:dyDescent="0.25">
      <c r="C884" s="67"/>
      <c r="D884" s="88"/>
      <c r="E884" s="89"/>
      <c r="F884" s="89"/>
      <c r="G884" s="89"/>
    </row>
    <row r="885" spans="3:7" x14ac:dyDescent="0.25">
      <c r="C885" s="67"/>
      <c r="D885" s="88"/>
      <c r="E885" s="89"/>
      <c r="F885" s="89"/>
      <c r="G885" s="89"/>
    </row>
    <row r="886" spans="3:7" x14ac:dyDescent="0.25">
      <c r="C886" s="67"/>
      <c r="D886" s="88"/>
      <c r="E886" s="89"/>
      <c r="F886" s="89"/>
      <c r="G886" s="89"/>
    </row>
    <row r="887" spans="3:7" x14ac:dyDescent="0.25">
      <c r="C887" s="67"/>
      <c r="D887" s="88"/>
      <c r="E887" s="89"/>
      <c r="F887" s="89"/>
      <c r="G887" s="89"/>
    </row>
    <row r="888" spans="3:7" x14ac:dyDescent="0.25">
      <c r="C888" s="67"/>
      <c r="D888" s="88"/>
      <c r="E888" s="89"/>
      <c r="F888" s="89"/>
      <c r="G888" s="89"/>
    </row>
    <row r="889" spans="3:7" x14ac:dyDescent="0.25">
      <c r="C889" s="67"/>
      <c r="D889" s="88"/>
      <c r="E889" s="89"/>
      <c r="F889" s="89"/>
      <c r="G889" s="89"/>
    </row>
    <row r="890" spans="3:7" x14ac:dyDescent="0.25">
      <c r="C890" s="67"/>
      <c r="D890" s="88"/>
      <c r="E890" s="89"/>
      <c r="F890" s="89"/>
      <c r="G890" s="89"/>
    </row>
    <row r="891" spans="3:7" x14ac:dyDescent="0.25">
      <c r="C891" s="67"/>
      <c r="D891" s="88"/>
      <c r="E891" s="89"/>
      <c r="F891" s="89"/>
      <c r="G891" s="89"/>
    </row>
    <row r="892" spans="3:7" x14ac:dyDescent="0.25">
      <c r="C892" s="67"/>
      <c r="D892" s="88"/>
      <c r="E892" s="89"/>
      <c r="F892" s="89"/>
      <c r="G892" s="89"/>
    </row>
    <row r="893" spans="3:7" x14ac:dyDescent="0.25">
      <c r="C893" s="67"/>
      <c r="D893" s="88"/>
      <c r="E893" s="89"/>
      <c r="F893" s="89"/>
      <c r="G893" s="89"/>
    </row>
    <row r="894" spans="3:7" x14ac:dyDescent="0.25">
      <c r="C894" s="67"/>
      <c r="D894" s="88"/>
      <c r="E894" s="89"/>
      <c r="F894" s="89"/>
      <c r="G894" s="89"/>
    </row>
    <row r="895" spans="3:7" x14ac:dyDescent="0.25">
      <c r="C895" s="67"/>
      <c r="D895" s="88"/>
      <c r="E895" s="89"/>
      <c r="F895" s="89"/>
      <c r="G895" s="89"/>
    </row>
    <row r="896" spans="3:7" x14ac:dyDescent="0.25">
      <c r="C896" s="67"/>
      <c r="D896" s="88"/>
      <c r="E896" s="89"/>
      <c r="F896" s="89"/>
      <c r="G896" s="89"/>
    </row>
    <row r="897" spans="3:7" x14ac:dyDescent="0.25">
      <c r="C897" s="67"/>
      <c r="D897" s="88"/>
      <c r="E897" s="89"/>
      <c r="F897" s="89"/>
      <c r="G897" s="89"/>
    </row>
    <row r="898" spans="3:7" x14ac:dyDescent="0.25">
      <c r="C898" s="67"/>
      <c r="D898" s="88"/>
      <c r="E898" s="89"/>
      <c r="F898" s="89"/>
      <c r="G898" s="89"/>
    </row>
    <row r="899" spans="3:7" x14ac:dyDescent="0.25">
      <c r="C899" s="67"/>
      <c r="D899" s="88"/>
      <c r="E899" s="89"/>
      <c r="F899" s="89"/>
      <c r="G899" s="89"/>
    </row>
    <row r="900" spans="3:7" x14ac:dyDescent="0.25">
      <c r="C900" s="67"/>
      <c r="D900" s="88"/>
      <c r="E900" s="89"/>
      <c r="F900" s="89"/>
      <c r="G900" s="89"/>
    </row>
    <row r="901" spans="3:7" x14ac:dyDescent="0.25">
      <c r="C901" s="67"/>
      <c r="D901" s="88"/>
      <c r="E901" s="89"/>
      <c r="F901" s="89"/>
      <c r="G901" s="89"/>
    </row>
    <row r="902" spans="3:7" x14ac:dyDescent="0.25">
      <c r="C902" s="67"/>
      <c r="D902" s="88"/>
      <c r="E902" s="89"/>
      <c r="F902" s="89"/>
      <c r="G902" s="89"/>
    </row>
    <row r="903" spans="3:7" x14ac:dyDescent="0.25">
      <c r="C903" s="67"/>
      <c r="D903" s="88"/>
      <c r="E903" s="89"/>
      <c r="F903" s="89"/>
      <c r="G903" s="89"/>
    </row>
    <row r="904" spans="3:7" x14ac:dyDescent="0.25">
      <c r="C904" s="67"/>
      <c r="D904" s="88"/>
      <c r="E904" s="89"/>
      <c r="F904" s="89"/>
      <c r="G904" s="89"/>
    </row>
    <row r="905" spans="3:7" x14ac:dyDescent="0.25">
      <c r="C905" s="67"/>
      <c r="D905" s="88"/>
      <c r="E905" s="89"/>
      <c r="F905" s="89"/>
      <c r="G905" s="89"/>
    </row>
    <row r="906" spans="3:7" x14ac:dyDescent="0.25">
      <c r="C906" s="67"/>
      <c r="D906" s="88"/>
      <c r="E906" s="89"/>
      <c r="F906" s="89"/>
      <c r="G906" s="89"/>
    </row>
    <row r="907" spans="3:7" x14ac:dyDescent="0.25">
      <c r="C907" s="67"/>
      <c r="D907" s="88"/>
      <c r="E907" s="89"/>
      <c r="F907" s="89"/>
      <c r="G907" s="89"/>
    </row>
    <row r="908" spans="3:7" x14ac:dyDescent="0.25">
      <c r="C908" s="67"/>
      <c r="D908" s="88"/>
      <c r="E908" s="89"/>
      <c r="F908" s="89"/>
      <c r="G908" s="89"/>
    </row>
    <row r="909" spans="3:7" x14ac:dyDescent="0.25">
      <c r="C909" s="67"/>
      <c r="D909" s="88"/>
      <c r="E909" s="89"/>
      <c r="F909" s="89"/>
      <c r="G909" s="89"/>
    </row>
    <row r="910" spans="3:7" x14ac:dyDescent="0.25">
      <c r="C910" s="67"/>
      <c r="D910" s="88"/>
      <c r="E910" s="89"/>
      <c r="F910" s="89"/>
      <c r="G910" s="89"/>
    </row>
    <row r="911" spans="3:7" x14ac:dyDescent="0.25">
      <c r="C911" s="67"/>
      <c r="D911" s="88"/>
      <c r="E911" s="89"/>
      <c r="F911" s="89"/>
      <c r="G911" s="89"/>
    </row>
    <row r="912" spans="3:7" x14ac:dyDescent="0.25">
      <c r="C912" s="67"/>
      <c r="D912" s="88"/>
      <c r="E912" s="89"/>
      <c r="F912" s="89"/>
      <c r="G912" s="89"/>
    </row>
    <row r="913" spans="3:7" x14ac:dyDescent="0.25">
      <c r="C913" s="67"/>
      <c r="D913" s="88"/>
      <c r="E913" s="89"/>
      <c r="F913" s="89"/>
      <c r="G913" s="89"/>
    </row>
    <row r="914" spans="3:7" x14ac:dyDescent="0.25">
      <c r="C914" s="67"/>
      <c r="D914" s="88"/>
      <c r="E914" s="89"/>
      <c r="F914" s="89"/>
      <c r="G914" s="89"/>
    </row>
    <row r="915" spans="3:7" x14ac:dyDescent="0.25">
      <c r="C915" s="67"/>
      <c r="D915" s="88"/>
      <c r="E915" s="89"/>
      <c r="F915" s="89"/>
      <c r="G915" s="89"/>
    </row>
    <row r="916" spans="3:7" x14ac:dyDescent="0.25">
      <c r="C916" s="67"/>
      <c r="D916" s="88"/>
      <c r="E916" s="89"/>
      <c r="F916" s="89"/>
      <c r="G916" s="89"/>
    </row>
    <row r="917" spans="3:7" x14ac:dyDescent="0.25">
      <c r="C917" s="67"/>
      <c r="D917" s="88"/>
      <c r="E917" s="89"/>
      <c r="F917" s="89"/>
      <c r="G917" s="89"/>
    </row>
    <row r="918" spans="3:7" x14ac:dyDescent="0.25">
      <c r="C918" s="67"/>
      <c r="D918" s="88"/>
      <c r="E918" s="89"/>
      <c r="F918" s="89"/>
      <c r="G918" s="89"/>
    </row>
    <row r="919" spans="3:7" x14ac:dyDescent="0.25">
      <c r="C919" s="67"/>
      <c r="D919" s="88"/>
      <c r="E919" s="89"/>
      <c r="F919" s="89"/>
      <c r="G919" s="89"/>
    </row>
    <row r="920" spans="3:7" x14ac:dyDescent="0.25">
      <c r="C920" s="67"/>
      <c r="D920" s="88"/>
      <c r="E920" s="89"/>
      <c r="F920" s="89"/>
      <c r="G920" s="89"/>
    </row>
    <row r="921" spans="3:7" x14ac:dyDescent="0.25">
      <c r="C921" s="67"/>
      <c r="D921" s="88"/>
      <c r="E921" s="89"/>
      <c r="F921" s="89"/>
      <c r="G921" s="89"/>
    </row>
    <row r="922" spans="3:7" x14ac:dyDescent="0.25">
      <c r="C922" s="67"/>
      <c r="D922" s="88"/>
      <c r="E922" s="89"/>
      <c r="F922" s="89"/>
      <c r="G922" s="89"/>
    </row>
    <row r="923" spans="3:7" x14ac:dyDescent="0.25">
      <c r="C923" s="67"/>
      <c r="D923" s="88"/>
      <c r="E923" s="89"/>
      <c r="F923" s="89"/>
      <c r="G923" s="89"/>
    </row>
    <row r="924" spans="3:7" x14ac:dyDescent="0.25">
      <c r="C924" s="67"/>
      <c r="D924" s="88"/>
      <c r="E924" s="89"/>
      <c r="F924" s="89"/>
      <c r="G924" s="89"/>
    </row>
    <row r="925" spans="3:7" x14ac:dyDescent="0.25">
      <c r="C925" s="67"/>
      <c r="D925" s="88"/>
      <c r="E925" s="89"/>
      <c r="F925" s="89"/>
      <c r="G925" s="89"/>
    </row>
    <row r="926" spans="3:7" x14ac:dyDescent="0.25">
      <c r="C926" s="67"/>
      <c r="D926" s="88"/>
      <c r="E926" s="89"/>
      <c r="F926" s="89"/>
      <c r="G926" s="89"/>
    </row>
    <row r="927" spans="3:7" x14ac:dyDescent="0.25">
      <c r="C927" s="67"/>
      <c r="D927" s="88"/>
      <c r="E927" s="89"/>
      <c r="F927" s="89"/>
      <c r="G927" s="89"/>
    </row>
    <row r="928" spans="3:7" x14ac:dyDescent="0.25">
      <c r="C928" s="67"/>
      <c r="D928" s="88"/>
      <c r="E928" s="89"/>
      <c r="F928" s="89"/>
      <c r="G928" s="89"/>
    </row>
    <row r="929" spans="3:7" x14ac:dyDescent="0.25">
      <c r="C929" s="67"/>
      <c r="D929" s="88"/>
      <c r="E929" s="89"/>
      <c r="F929" s="89"/>
      <c r="G929" s="89"/>
    </row>
    <row r="930" spans="3:7" x14ac:dyDescent="0.25">
      <c r="C930" s="67"/>
      <c r="D930" s="88"/>
      <c r="E930" s="89"/>
      <c r="F930" s="89"/>
      <c r="G930" s="89"/>
    </row>
    <row r="931" spans="3:7" x14ac:dyDescent="0.25">
      <c r="C931" s="67"/>
      <c r="D931" s="88"/>
      <c r="E931" s="89"/>
      <c r="F931" s="89"/>
      <c r="G931" s="89"/>
    </row>
    <row r="932" spans="3:7" x14ac:dyDescent="0.25">
      <c r="C932" s="67"/>
      <c r="D932" s="88"/>
      <c r="E932" s="89"/>
      <c r="F932" s="89"/>
      <c r="G932" s="89"/>
    </row>
    <row r="933" spans="3:7" x14ac:dyDescent="0.25">
      <c r="C933" s="67"/>
      <c r="D933" s="88"/>
      <c r="E933" s="89"/>
      <c r="F933" s="89"/>
      <c r="G933" s="89"/>
    </row>
    <row r="934" spans="3:7" x14ac:dyDescent="0.25">
      <c r="C934" s="67"/>
      <c r="D934" s="88"/>
      <c r="E934" s="89"/>
      <c r="F934" s="89"/>
      <c r="G934" s="89"/>
    </row>
    <row r="935" spans="3:7" x14ac:dyDescent="0.25">
      <c r="C935" s="67"/>
      <c r="D935" s="88"/>
      <c r="E935" s="89"/>
      <c r="F935" s="89"/>
      <c r="G935" s="89"/>
    </row>
    <row r="936" spans="3:7" x14ac:dyDescent="0.25">
      <c r="C936" s="67"/>
      <c r="D936" s="88"/>
      <c r="E936" s="89"/>
      <c r="F936" s="89"/>
      <c r="G936" s="89"/>
    </row>
    <row r="937" spans="3:7" x14ac:dyDescent="0.25">
      <c r="C937" s="67"/>
      <c r="D937" s="88"/>
      <c r="E937" s="89"/>
      <c r="F937" s="89"/>
      <c r="G937" s="89"/>
    </row>
    <row r="938" spans="3:7" x14ac:dyDescent="0.25">
      <c r="C938" s="67"/>
      <c r="D938" s="88"/>
      <c r="E938" s="89"/>
      <c r="F938" s="89"/>
      <c r="G938" s="89"/>
    </row>
    <row r="939" spans="3:7" x14ac:dyDescent="0.25">
      <c r="C939" s="67"/>
      <c r="D939" s="88"/>
      <c r="E939" s="89"/>
      <c r="F939" s="89"/>
      <c r="G939" s="89"/>
    </row>
    <row r="940" spans="3:7" x14ac:dyDescent="0.25">
      <c r="C940" s="67"/>
      <c r="D940" s="88"/>
      <c r="E940" s="89"/>
      <c r="F940" s="89"/>
      <c r="G940" s="89"/>
    </row>
    <row r="941" spans="3:7" x14ac:dyDescent="0.25">
      <c r="C941" s="67"/>
      <c r="D941" s="88"/>
      <c r="E941" s="89"/>
      <c r="F941" s="89"/>
      <c r="G941" s="89"/>
    </row>
    <row r="942" spans="3:7" x14ac:dyDescent="0.25">
      <c r="C942" s="67"/>
      <c r="D942" s="88"/>
      <c r="E942" s="89"/>
      <c r="F942" s="89"/>
      <c r="G942" s="89"/>
    </row>
    <row r="943" spans="3:7" x14ac:dyDescent="0.25">
      <c r="C943" s="67"/>
      <c r="D943" s="88"/>
      <c r="E943" s="89"/>
      <c r="F943" s="89"/>
      <c r="G943" s="89"/>
    </row>
    <row r="944" spans="3:7" x14ac:dyDescent="0.25">
      <c r="C944" s="67"/>
      <c r="D944" s="88"/>
      <c r="E944" s="89"/>
      <c r="F944" s="89"/>
      <c r="G944" s="89"/>
    </row>
    <row r="945" spans="3:7" x14ac:dyDescent="0.25">
      <c r="C945" s="67"/>
      <c r="D945" s="88"/>
      <c r="E945" s="89"/>
      <c r="F945" s="89"/>
      <c r="G945" s="89"/>
    </row>
    <row r="946" spans="3:7" x14ac:dyDescent="0.25">
      <c r="C946" s="67"/>
      <c r="D946" s="88"/>
      <c r="E946" s="89"/>
      <c r="F946" s="89"/>
      <c r="G946" s="89"/>
    </row>
    <row r="947" spans="3:7" x14ac:dyDescent="0.25">
      <c r="C947" s="67"/>
      <c r="D947" s="88"/>
      <c r="E947" s="89"/>
      <c r="F947" s="89"/>
      <c r="G947" s="89"/>
    </row>
    <row r="948" spans="3:7" x14ac:dyDescent="0.25">
      <c r="C948" s="67"/>
      <c r="D948" s="88"/>
      <c r="E948" s="89"/>
      <c r="F948" s="89"/>
      <c r="G948" s="89"/>
    </row>
    <row r="949" spans="3:7" x14ac:dyDescent="0.25">
      <c r="C949" s="67"/>
      <c r="D949" s="88"/>
      <c r="E949" s="89"/>
      <c r="F949" s="89"/>
      <c r="G949" s="89"/>
    </row>
    <row r="950" spans="3:7" x14ac:dyDescent="0.25">
      <c r="C950" s="67"/>
      <c r="D950" s="88"/>
      <c r="E950" s="89"/>
      <c r="F950" s="89"/>
      <c r="G950" s="89"/>
    </row>
    <row r="951" spans="3:7" x14ac:dyDescent="0.25">
      <c r="C951" s="67"/>
      <c r="D951" s="88"/>
      <c r="E951" s="89"/>
      <c r="F951" s="89"/>
      <c r="G951" s="89"/>
    </row>
    <row r="952" spans="3:7" x14ac:dyDescent="0.25">
      <c r="C952" s="67"/>
      <c r="D952" s="88"/>
      <c r="E952" s="89"/>
      <c r="F952" s="89"/>
      <c r="G952" s="89"/>
    </row>
    <row r="953" spans="3:7" x14ac:dyDescent="0.25">
      <c r="C953" s="67"/>
      <c r="D953" s="88"/>
      <c r="E953" s="89"/>
      <c r="F953" s="89"/>
      <c r="G953" s="89"/>
    </row>
    <row r="954" spans="3:7" x14ac:dyDescent="0.25">
      <c r="C954" s="67"/>
      <c r="D954" s="88"/>
      <c r="E954" s="89"/>
      <c r="F954" s="89"/>
      <c r="G954" s="89"/>
    </row>
    <row r="955" spans="3:7" x14ac:dyDescent="0.25">
      <c r="C955" s="67"/>
      <c r="D955" s="88"/>
      <c r="E955" s="89"/>
      <c r="F955" s="89"/>
      <c r="G955" s="89"/>
    </row>
    <row r="956" spans="3:7" x14ac:dyDescent="0.25">
      <c r="C956" s="67"/>
      <c r="D956" s="88"/>
      <c r="E956" s="89"/>
      <c r="F956" s="89"/>
      <c r="G956" s="89"/>
    </row>
    <row r="957" spans="3:7" x14ac:dyDescent="0.25">
      <c r="C957" s="67"/>
      <c r="D957" s="88"/>
      <c r="E957" s="89"/>
      <c r="F957" s="89"/>
      <c r="G957" s="89"/>
    </row>
    <row r="958" spans="3:7" x14ac:dyDescent="0.25">
      <c r="C958" s="67"/>
      <c r="D958" s="88"/>
      <c r="E958" s="89"/>
      <c r="F958" s="89"/>
      <c r="G958" s="89"/>
    </row>
    <row r="959" spans="3:7" x14ac:dyDescent="0.25">
      <c r="C959" s="67"/>
      <c r="D959" s="88"/>
      <c r="E959" s="89"/>
      <c r="F959" s="89"/>
      <c r="G959" s="89"/>
    </row>
    <row r="960" spans="3:7" x14ac:dyDescent="0.25">
      <c r="C960" s="67"/>
      <c r="D960" s="88"/>
      <c r="E960" s="89"/>
      <c r="F960" s="89"/>
      <c r="G960" s="89"/>
    </row>
    <row r="961" spans="3:7" x14ac:dyDescent="0.25">
      <c r="C961" s="67"/>
      <c r="D961" s="88"/>
      <c r="E961" s="89"/>
      <c r="F961" s="89"/>
      <c r="G961" s="89"/>
    </row>
    <row r="962" spans="3:7" x14ac:dyDescent="0.25">
      <c r="C962" s="67"/>
      <c r="D962" s="88"/>
      <c r="E962" s="89"/>
      <c r="F962" s="89"/>
      <c r="G962" s="89"/>
    </row>
    <row r="963" spans="3:7" x14ac:dyDescent="0.25">
      <c r="C963" s="67"/>
      <c r="D963" s="88"/>
      <c r="E963" s="89"/>
      <c r="F963" s="89"/>
      <c r="G963" s="89"/>
    </row>
    <row r="964" spans="3:7" x14ac:dyDescent="0.25">
      <c r="C964" s="67"/>
      <c r="D964" s="88"/>
      <c r="E964" s="89"/>
      <c r="F964" s="89"/>
      <c r="G964" s="89"/>
    </row>
    <row r="965" spans="3:7" x14ac:dyDescent="0.25">
      <c r="C965" s="67"/>
      <c r="D965" s="88"/>
      <c r="E965" s="89"/>
      <c r="F965" s="89"/>
      <c r="G965" s="89"/>
    </row>
    <row r="966" spans="3:7" x14ac:dyDescent="0.25">
      <c r="C966" s="67"/>
      <c r="D966" s="88"/>
      <c r="E966" s="89"/>
      <c r="F966" s="89"/>
      <c r="G966" s="89"/>
    </row>
    <row r="967" spans="3:7" x14ac:dyDescent="0.25">
      <c r="C967" s="67"/>
      <c r="D967" s="88"/>
      <c r="E967" s="89"/>
      <c r="F967" s="89"/>
      <c r="G967" s="89"/>
    </row>
    <row r="968" spans="3:7" x14ac:dyDescent="0.25">
      <c r="C968" s="67"/>
      <c r="D968" s="88"/>
      <c r="E968" s="89"/>
      <c r="F968" s="89"/>
      <c r="G968" s="89"/>
    </row>
    <row r="969" spans="3:7" x14ac:dyDescent="0.25">
      <c r="C969" s="67"/>
      <c r="D969" s="88"/>
      <c r="E969" s="89"/>
      <c r="F969" s="89"/>
      <c r="G969" s="89"/>
    </row>
    <row r="970" spans="3:7" x14ac:dyDescent="0.25">
      <c r="C970" s="67"/>
      <c r="D970" s="88"/>
      <c r="E970" s="89"/>
      <c r="F970" s="89"/>
      <c r="G970" s="89"/>
    </row>
    <row r="971" spans="3:7" x14ac:dyDescent="0.25">
      <c r="C971" s="67"/>
      <c r="D971" s="88"/>
      <c r="E971" s="89"/>
      <c r="F971" s="89"/>
      <c r="G971" s="89"/>
    </row>
    <row r="972" spans="3:7" x14ac:dyDescent="0.25">
      <c r="C972" s="67"/>
      <c r="D972" s="88"/>
      <c r="E972" s="89"/>
      <c r="F972" s="89"/>
      <c r="G972" s="89"/>
    </row>
    <row r="973" spans="3:7" x14ac:dyDescent="0.25">
      <c r="C973" s="67"/>
      <c r="D973" s="88"/>
      <c r="E973" s="89"/>
      <c r="F973" s="89"/>
      <c r="G973" s="89"/>
    </row>
    <row r="974" spans="3:7" x14ac:dyDescent="0.25">
      <c r="C974" s="67"/>
      <c r="D974" s="88"/>
      <c r="E974" s="89"/>
      <c r="F974" s="89"/>
      <c r="G974" s="89"/>
    </row>
    <row r="975" spans="3:7" x14ac:dyDescent="0.25">
      <c r="C975" s="67"/>
      <c r="D975" s="88"/>
      <c r="E975" s="89"/>
      <c r="F975" s="89"/>
      <c r="G975" s="89"/>
    </row>
    <row r="976" spans="3:7" x14ac:dyDescent="0.25">
      <c r="C976" s="67"/>
      <c r="D976" s="88"/>
      <c r="E976" s="89"/>
      <c r="F976" s="89"/>
      <c r="G976" s="89"/>
    </row>
    <row r="977" spans="3:7" x14ac:dyDescent="0.25">
      <c r="C977" s="67"/>
      <c r="D977" s="88"/>
      <c r="E977" s="89"/>
      <c r="F977" s="89"/>
      <c r="G977" s="89"/>
    </row>
    <row r="978" spans="3:7" x14ac:dyDescent="0.25">
      <c r="C978" s="67"/>
      <c r="D978" s="88"/>
      <c r="E978" s="89"/>
      <c r="F978" s="89"/>
      <c r="G978" s="89"/>
    </row>
    <row r="979" spans="3:7" x14ac:dyDescent="0.25">
      <c r="C979" s="67"/>
      <c r="D979" s="88"/>
      <c r="E979" s="89"/>
      <c r="F979" s="89"/>
      <c r="G979" s="89"/>
    </row>
    <row r="980" spans="3:7" x14ac:dyDescent="0.25">
      <c r="C980" s="67"/>
      <c r="D980" s="88"/>
      <c r="E980" s="89"/>
      <c r="F980" s="89"/>
      <c r="G980" s="89"/>
    </row>
    <row r="981" spans="3:7" x14ac:dyDescent="0.25">
      <c r="C981" s="67"/>
      <c r="D981" s="88"/>
      <c r="E981" s="89"/>
      <c r="F981" s="89"/>
      <c r="G981" s="89"/>
    </row>
    <row r="982" spans="3:7" x14ac:dyDescent="0.25">
      <c r="C982" s="67"/>
      <c r="D982" s="88"/>
      <c r="E982" s="89"/>
      <c r="F982" s="89"/>
      <c r="G982" s="89"/>
    </row>
    <row r="983" spans="3:7" x14ac:dyDescent="0.25">
      <c r="C983" s="67"/>
      <c r="D983" s="88"/>
      <c r="E983" s="89"/>
      <c r="F983" s="89"/>
      <c r="G983" s="89"/>
    </row>
    <row r="984" spans="3:7" x14ac:dyDescent="0.25">
      <c r="C984" s="67"/>
      <c r="D984" s="88"/>
      <c r="E984" s="89"/>
      <c r="F984" s="89"/>
      <c r="G984" s="89"/>
    </row>
    <row r="985" spans="3:7" x14ac:dyDescent="0.25">
      <c r="C985" s="67"/>
      <c r="D985" s="88"/>
      <c r="E985" s="89"/>
      <c r="F985" s="89"/>
      <c r="G985" s="89"/>
    </row>
    <row r="986" spans="3:7" x14ac:dyDescent="0.25">
      <c r="C986" s="67"/>
      <c r="D986" s="88"/>
      <c r="E986" s="89"/>
      <c r="F986" s="89"/>
      <c r="G986" s="89"/>
    </row>
    <row r="987" spans="3:7" x14ac:dyDescent="0.25">
      <c r="C987" s="67"/>
      <c r="D987" s="88"/>
      <c r="E987" s="89"/>
      <c r="F987" s="89"/>
      <c r="G987" s="89"/>
    </row>
    <row r="988" spans="3:7" x14ac:dyDescent="0.25">
      <c r="C988" s="67"/>
      <c r="D988" s="88"/>
      <c r="E988" s="89"/>
      <c r="F988" s="89"/>
      <c r="G988" s="89"/>
    </row>
    <row r="989" spans="3:7" x14ac:dyDescent="0.25">
      <c r="C989" s="67"/>
      <c r="D989" s="88"/>
      <c r="E989" s="89"/>
      <c r="F989" s="89"/>
      <c r="G989" s="89"/>
    </row>
    <row r="990" spans="3:7" x14ac:dyDescent="0.25">
      <c r="C990" s="67"/>
      <c r="D990" s="88"/>
      <c r="E990" s="89"/>
      <c r="F990" s="89"/>
      <c r="G990" s="89"/>
    </row>
    <row r="991" spans="3:7" x14ac:dyDescent="0.25">
      <c r="C991" s="67"/>
      <c r="D991" s="88"/>
      <c r="E991" s="89"/>
      <c r="F991" s="89"/>
      <c r="G991" s="89"/>
    </row>
    <row r="992" spans="3:7" x14ac:dyDescent="0.25">
      <c r="C992" s="67"/>
      <c r="D992" s="88"/>
      <c r="E992" s="89"/>
      <c r="F992" s="89"/>
      <c r="G992" s="89"/>
    </row>
    <row r="993" spans="3:7" x14ac:dyDescent="0.25">
      <c r="C993" s="67"/>
      <c r="D993" s="88"/>
      <c r="E993" s="89"/>
      <c r="F993" s="89"/>
      <c r="G993" s="89"/>
    </row>
    <row r="994" spans="3:7" x14ac:dyDescent="0.25">
      <c r="C994" s="67"/>
      <c r="D994" s="88"/>
      <c r="E994" s="89"/>
      <c r="F994" s="89"/>
      <c r="G994" s="89"/>
    </row>
    <row r="995" spans="3:7" x14ac:dyDescent="0.25">
      <c r="C995" s="67"/>
      <c r="D995" s="88"/>
      <c r="E995" s="89"/>
      <c r="F995" s="89"/>
      <c r="G995" s="89"/>
    </row>
    <row r="996" spans="3:7" x14ac:dyDescent="0.25">
      <c r="C996" s="67"/>
      <c r="D996" s="88"/>
      <c r="E996" s="89"/>
      <c r="F996" s="89"/>
      <c r="G996" s="89"/>
    </row>
    <row r="997" spans="3:7" x14ac:dyDescent="0.25">
      <c r="C997" s="67"/>
      <c r="D997" s="88"/>
      <c r="E997" s="89"/>
      <c r="F997" s="89"/>
      <c r="G997" s="89"/>
    </row>
    <row r="998" spans="3:7" x14ac:dyDescent="0.25">
      <c r="C998" s="67"/>
      <c r="D998" s="88"/>
      <c r="E998" s="89"/>
      <c r="F998" s="89"/>
      <c r="G998" s="89"/>
    </row>
    <row r="999" spans="3:7" x14ac:dyDescent="0.25">
      <c r="C999" s="67"/>
      <c r="D999" s="88"/>
      <c r="E999" s="89"/>
      <c r="F999" s="89"/>
      <c r="G999" s="89"/>
    </row>
    <row r="1000" spans="3:7" x14ac:dyDescent="0.25">
      <c r="C1000" s="67"/>
      <c r="D1000" s="88"/>
      <c r="E1000" s="89"/>
      <c r="F1000" s="89"/>
      <c r="G1000" s="89"/>
    </row>
    <row r="1001" spans="3:7" x14ac:dyDescent="0.25">
      <c r="C1001" s="67"/>
      <c r="D1001" s="88"/>
      <c r="E1001" s="89"/>
      <c r="F1001" s="89"/>
      <c r="G1001" s="89"/>
    </row>
    <row r="1002" spans="3:7" x14ac:dyDescent="0.25">
      <c r="C1002" s="67"/>
      <c r="D1002" s="88"/>
      <c r="E1002" s="89"/>
      <c r="F1002" s="89"/>
      <c r="G1002" s="89"/>
    </row>
    <row r="1003" spans="3:7" x14ac:dyDescent="0.25">
      <c r="C1003" s="67"/>
      <c r="D1003" s="88"/>
      <c r="E1003" s="89"/>
      <c r="F1003" s="89"/>
      <c r="G1003" s="89"/>
    </row>
    <row r="1004" spans="3:7" x14ac:dyDescent="0.25">
      <c r="C1004" s="67"/>
      <c r="D1004" s="88"/>
      <c r="E1004" s="89"/>
      <c r="F1004" s="89"/>
      <c r="G1004" s="89"/>
    </row>
    <row r="1005" spans="3:7" x14ac:dyDescent="0.25">
      <c r="C1005" s="67"/>
      <c r="D1005" s="88"/>
      <c r="E1005" s="89"/>
      <c r="F1005" s="89"/>
      <c r="G1005" s="89"/>
    </row>
    <row r="1006" spans="3:7" x14ac:dyDescent="0.25">
      <c r="C1006" s="67"/>
      <c r="D1006" s="88"/>
      <c r="E1006" s="89"/>
      <c r="F1006" s="89"/>
      <c r="G1006" s="89"/>
    </row>
    <row r="1007" spans="3:7" x14ac:dyDescent="0.25">
      <c r="C1007" s="67"/>
      <c r="D1007" s="88"/>
      <c r="E1007" s="89"/>
      <c r="F1007" s="89"/>
      <c r="G1007" s="89"/>
    </row>
    <row r="1008" spans="3:7" x14ac:dyDescent="0.25">
      <c r="C1008" s="67"/>
      <c r="D1008" s="88"/>
      <c r="E1008" s="89"/>
      <c r="F1008" s="89"/>
      <c r="G1008" s="89"/>
    </row>
    <row r="1009" spans="3:7" x14ac:dyDescent="0.25">
      <c r="C1009" s="67"/>
      <c r="D1009" s="88"/>
      <c r="E1009" s="89"/>
      <c r="F1009" s="89"/>
      <c r="G1009" s="89"/>
    </row>
    <row r="1010" spans="3:7" x14ac:dyDescent="0.25">
      <c r="C1010" s="67"/>
      <c r="D1010" s="88"/>
      <c r="E1010" s="89"/>
      <c r="F1010" s="89"/>
      <c r="G1010" s="89"/>
    </row>
    <row r="1011" spans="3:7" x14ac:dyDescent="0.25">
      <c r="C1011" s="67"/>
      <c r="D1011" s="88"/>
      <c r="E1011" s="89"/>
      <c r="F1011" s="89"/>
      <c r="G1011" s="89"/>
    </row>
    <row r="1012" spans="3:7" x14ac:dyDescent="0.25">
      <c r="C1012" s="67"/>
      <c r="D1012" s="88"/>
      <c r="E1012" s="89"/>
      <c r="F1012" s="89"/>
      <c r="G1012" s="89"/>
    </row>
    <row r="1013" spans="3:7" x14ac:dyDescent="0.25">
      <c r="C1013" s="67"/>
      <c r="D1013" s="88"/>
      <c r="E1013" s="89"/>
      <c r="F1013" s="89"/>
      <c r="G1013" s="89"/>
    </row>
    <row r="1014" spans="3:7" x14ac:dyDescent="0.25">
      <c r="C1014" s="67"/>
      <c r="D1014" s="88"/>
      <c r="E1014" s="89"/>
      <c r="F1014" s="89"/>
      <c r="G1014" s="89"/>
    </row>
    <row r="1015" spans="3:7" x14ac:dyDescent="0.25">
      <c r="C1015" s="67"/>
      <c r="D1015" s="88"/>
      <c r="E1015" s="89"/>
      <c r="F1015" s="89"/>
      <c r="G1015" s="89"/>
    </row>
    <row r="1016" spans="3:7" x14ac:dyDescent="0.25">
      <c r="C1016" s="67"/>
      <c r="D1016" s="88"/>
      <c r="E1016" s="89"/>
      <c r="F1016" s="89"/>
      <c r="G1016" s="89"/>
    </row>
    <row r="1017" spans="3:7" x14ac:dyDescent="0.25">
      <c r="C1017" s="67"/>
      <c r="D1017" s="88"/>
      <c r="E1017" s="89"/>
      <c r="F1017" s="89"/>
      <c r="G1017" s="89"/>
    </row>
    <row r="1018" spans="3:7" x14ac:dyDescent="0.25">
      <c r="C1018" s="67"/>
      <c r="D1018" s="88"/>
      <c r="E1018" s="89"/>
      <c r="F1018" s="89"/>
      <c r="G1018" s="89"/>
    </row>
    <row r="1019" spans="3:7" x14ac:dyDescent="0.25">
      <c r="C1019" s="67"/>
      <c r="D1019" s="88"/>
      <c r="E1019" s="89"/>
      <c r="F1019" s="89"/>
      <c r="G1019" s="89"/>
    </row>
    <row r="1020" spans="3:7" x14ac:dyDescent="0.25">
      <c r="C1020" s="67"/>
      <c r="D1020" s="88"/>
      <c r="E1020" s="89"/>
      <c r="F1020" s="89"/>
      <c r="G1020" s="89"/>
    </row>
    <row r="1021" spans="3:7" x14ac:dyDescent="0.25">
      <c r="C1021" s="67"/>
      <c r="D1021" s="88"/>
      <c r="E1021" s="89"/>
      <c r="F1021" s="89"/>
      <c r="G1021" s="89"/>
    </row>
    <row r="1022" spans="3:7" x14ac:dyDescent="0.25">
      <c r="C1022" s="67"/>
      <c r="D1022" s="88"/>
      <c r="E1022" s="89"/>
      <c r="F1022" s="89"/>
      <c r="G1022" s="89"/>
    </row>
    <row r="1023" spans="3:7" x14ac:dyDescent="0.25">
      <c r="C1023" s="67"/>
      <c r="D1023" s="88"/>
      <c r="E1023" s="89"/>
      <c r="F1023" s="89"/>
      <c r="G1023" s="89"/>
    </row>
    <row r="1024" spans="3:7" x14ac:dyDescent="0.25">
      <c r="C1024" s="67"/>
      <c r="D1024" s="88"/>
      <c r="E1024" s="89"/>
      <c r="F1024" s="89"/>
      <c r="G1024" s="89"/>
    </row>
    <row r="1025" spans="3:7" x14ac:dyDescent="0.25">
      <c r="C1025" s="67"/>
      <c r="D1025" s="88"/>
      <c r="E1025" s="89"/>
      <c r="F1025" s="89"/>
      <c r="G1025" s="89"/>
    </row>
    <row r="1026" spans="3:7" x14ac:dyDescent="0.25">
      <c r="C1026" s="67"/>
      <c r="D1026" s="88"/>
      <c r="E1026" s="89"/>
      <c r="F1026" s="89"/>
      <c r="G1026" s="89"/>
    </row>
    <row r="1027" spans="3:7" x14ac:dyDescent="0.25">
      <c r="C1027" s="67"/>
      <c r="D1027" s="88"/>
      <c r="E1027" s="89"/>
      <c r="F1027" s="89"/>
      <c r="G1027" s="89"/>
    </row>
    <row r="1028" spans="3:7" x14ac:dyDescent="0.25">
      <c r="C1028" s="67"/>
      <c r="D1028" s="88"/>
      <c r="E1028" s="89"/>
      <c r="F1028" s="89"/>
      <c r="G1028" s="89"/>
    </row>
    <row r="1029" spans="3:7" x14ac:dyDescent="0.25">
      <c r="C1029" s="67"/>
      <c r="D1029" s="88"/>
      <c r="E1029" s="89"/>
      <c r="F1029" s="89"/>
      <c r="G1029" s="89"/>
    </row>
    <row r="1030" spans="3:7" x14ac:dyDescent="0.25">
      <c r="C1030" s="67"/>
      <c r="D1030" s="88"/>
      <c r="E1030" s="89"/>
      <c r="F1030" s="89"/>
      <c r="G1030" s="89"/>
    </row>
    <row r="1031" spans="3:7" x14ac:dyDescent="0.25">
      <c r="C1031" s="67"/>
      <c r="D1031" s="88"/>
      <c r="E1031" s="89"/>
      <c r="F1031" s="89"/>
      <c r="G1031" s="89"/>
    </row>
    <row r="1032" spans="3:7" x14ac:dyDescent="0.25">
      <c r="C1032" s="67"/>
      <c r="D1032" s="88"/>
      <c r="E1032" s="89"/>
      <c r="F1032" s="89"/>
      <c r="G1032" s="89"/>
    </row>
    <row r="1033" spans="3:7" x14ac:dyDescent="0.25">
      <c r="C1033" s="67"/>
      <c r="D1033" s="88"/>
      <c r="E1033" s="89"/>
      <c r="F1033" s="89"/>
      <c r="G1033" s="89"/>
    </row>
    <row r="1034" spans="3:7" x14ac:dyDescent="0.25">
      <c r="C1034" s="67"/>
      <c r="D1034" s="88"/>
      <c r="E1034" s="89"/>
      <c r="F1034" s="89"/>
      <c r="G1034" s="89"/>
    </row>
  </sheetData>
  <mergeCells count="2">
    <mergeCell ref="F35:G35"/>
    <mergeCell ref="B17:B30"/>
  </mergeCells>
  <pageMargins left="0.7" right="0.7" top="0.78740157499999996" bottom="0.78740157499999996" header="0.3" footer="0.3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AE3C-C326-4039-B86C-AA5EEECAB3C0}">
  <sheetPr>
    <tabColor theme="4" tint="0.79998168889431442"/>
  </sheetPr>
  <dimension ref="A1:P104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1.42578125" defaultRowHeight="15" x14ac:dyDescent="0.25"/>
  <cols>
    <col min="1" max="1" width="3.7109375" style="144" customWidth="1"/>
    <col min="2" max="2" width="14.140625" style="3" customWidth="1"/>
    <col min="3" max="3" width="13.7109375" style="3" customWidth="1"/>
    <col min="4" max="4" width="6" style="3" customWidth="1"/>
    <col min="5" max="5" width="13.85546875" style="3" customWidth="1"/>
    <col min="6" max="6" width="5.5703125" style="3" customWidth="1"/>
    <col min="7" max="7" width="18.140625" style="3" customWidth="1"/>
    <col min="8" max="8" width="13.7109375" style="3" customWidth="1"/>
    <col min="9" max="9" width="4.5703125" style="3" customWidth="1"/>
    <col min="10" max="10" width="11.42578125" style="3"/>
    <col min="11" max="11" width="22" style="3" customWidth="1"/>
    <col min="12" max="12" width="4.140625" style="3" customWidth="1"/>
    <col min="13" max="13" width="11.42578125" style="3"/>
    <col min="14" max="14" width="12.140625" style="3" bestFit="1" customWidth="1"/>
    <col min="15" max="16384" width="11.42578125" style="3"/>
  </cols>
  <sheetData>
    <row r="1" spans="2:16" s="144" customFormat="1" x14ac:dyDescent="0.25"/>
    <row r="2" spans="2:16" ht="23.25" x14ac:dyDescent="0.35">
      <c r="B2" s="6" t="s">
        <v>127</v>
      </c>
    </row>
    <row r="3" spans="2:16" ht="23.25" x14ac:dyDescent="0.35">
      <c r="B3" s="6"/>
    </row>
    <row r="4" spans="2:16" ht="30" x14ac:dyDescent="0.25">
      <c r="B4" s="28" t="s">
        <v>84</v>
      </c>
      <c r="C4" s="30" t="s">
        <v>85</v>
      </c>
      <c r="E4" s="93" t="s">
        <v>86</v>
      </c>
      <c r="G4" s="28" t="s">
        <v>87</v>
      </c>
      <c r="H4" s="179" t="s">
        <v>86</v>
      </c>
      <c r="J4" s="71" t="s">
        <v>90</v>
      </c>
      <c r="K4" s="179" t="s">
        <v>91</v>
      </c>
      <c r="M4" s="71" t="s">
        <v>119</v>
      </c>
      <c r="N4" s="182"/>
      <c r="O4" s="182"/>
      <c r="P4" s="179"/>
    </row>
    <row r="5" spans="2:16" x14ac:dyDescent="0.25">
      <c r="B5" s="31">
        <v>202</v>
      </c>
      <c r="C5" s="94">
        <v>200</v>
      </c>
      <c r="E5" s="95">
        <v>185</v>
      </c>
      <c r="G5" s="131"/>
      <c r="H5" s="132"/>
      <c r="J5" s="31">
        <v>1</v>
      </c>
      <c r="K5" s="180"/>
      <c r="M5" s="96">
        <v>0.05</v>
      </c>
      <c r="N5" s="135"/>
      <c r="O5" s="4">
        <f>N5-$E$21</f>
        <v>-0.46666666666666856</v>
      </c>
      <c r="P5" s="104">
        <f>E21-O5</f>
        <v>0.93333333333333712</v>
      </c>
    </row>
    <row r="6" spans="2:16" x14ac:dyDescent="0.25">
      <c r="B6" s="31">
        <v>207</v>
      </c>
      <c r="C6" s="94">
        <v>211</v>
      </c>
      <c r="E6" s="95">
        <v>200</v>
      </c>
      <c r="G6" s="131"/>
      <c r="H6" s="132"/>
      <c r="J6" s="31">
        <v>2</v>
      </c>
      <c r="K6" s="180"/>
      <c r="M6" s="97">
        <v>0.95</v>
      </c>
      <c r="N6" s="136"/>
      <c r="O6" s="70">
        <f>N6-$E$21</f>
        <v>-0.46666666666666856</v>
      </c>
      <c r="P6" s="105">
        <f>E21-O6</f>
        <v>0.93333333333333712</v>
      </c>
    </row>
    <row r="7" spans="2:16" x14ac:dyDescent="0.25">
      <c r="B7" s="31">
        <v>197</v>
      </c>
      <c r="C7" s="94">
        <v>199</v>
      </c>
      <c r="E7" s="95">
        <v>211</v>
      </c>
      <c r="G7" s="131"/>
      <c r="H7" s="132"/>
      <c r="J7" s="31">
        <v>3</v>
      </c>
      <c r="K7" s="180"/>
    </row>
    <row r="8" spans="2:16" x14ac:dyDescent="0.25">
      <c r="B8" s="31">
        <v>172</v>
      </c>
      <c r="C8" s="94">
        <v>185</v>
      </c>
      <c r="E8" s="95">
        <v>188</v>
      </c>
      <c r="G8" s="131"/>
      <c r="H8" s="132"/>
      <c r="J8" s="31">
        <v>4</v>
      </c>
      <c r="K8" s="180"/>
      <c r="L8" s="3" t="s">
        <v>83</v>
      </c>
    </row>
    <row r="9" spans="2:16" x14ac:dyDescent="0.25">
      <c r="B9" s="31">
        <v>168</v>
      </c>
      <c r="C9" s="94">
        <v>209</v>
      </c>
      <c r="E9" s="95">
        <v>209</v>
      </c>
      <c r="G9" s="131"/>
      <c r="H9" s="132"/>
      <c r="J9" s="31">
        <v>5</v>
      </c>
      <c r="K9" s="180"/>
      <c r="O9" s="3" t="s">
        <v>83</v>
      </c>
    </row>
    <row r="10" spans="2:16" x14ac:dyDescent="0.25">
      <c r="B10" s="31">
        <v>155</v>
      </c>
      <c r="C10" s="94">
        <v>202</v>
      </c>
      <c r="E10" s="95">
        <v>199</v>
      </c>
      <c r="G10" s="131"/>
      <c r="H10" s="132"/>
      <c r="J10" s="31">
        <v>6</v>
      </c>
      <c r="K10" s="180"/>
    </row>
    <row r="11" spans="2:16" x14ac:dyDescent="0.25">
      <c r="B11" s="31">
        <v>163</v>
      </c>
      <c r="C11" s="94">
        <v>210</v>
      </c>
      <c r="E11" s="95">
        <v>183</v>
      </c>
      <c r="G11" s="131"/>
      <c r="H11" s="132"/>
      <c r="J11" s="31">
        <v>7</v>
      </c>
      <c r="K11" s="180"/>
    </row>
    <row r="12" spans="2:16" x14ac:dyDescent="0.25">
      <c r="B12" s="31">
        <v>187</v>
      </c>
      <c r="C12" s="94">
        <v>181</v>
      </c>
      <c r="E12" s="95">
        <v>202</v>
      </c>
      <c r="G12" s="131"/>
      <c r="H12" s="132"/>
      <c r="J12" s="31">
        <v>8</v>
      </c>
      <c r="K12" s="180"/>
    </row>
    <row r="13" spans="2:16" x14ac:dyDescent="0.25">
      <c r="B13" s="31">
        <v>201</v>
      </c>
      <c r="C13" s="94">
        <v>184</v>
      </c>
      <c r="E13" s="95">
        <v>178</v>
      </c>
      <c r="G13" s="131"/>
      <c r="H13" s="132"/>
      <c r="J13" s="31">
        <v>9</v>
      </c>
      <c r="K13" s="180"/>
    </row>
    <row r="14" spans="2:16" x14ac:dyDescent="0.25">
      <c r="B14" s="31">
        <v>188</v>
      </c>
      <c r="C14" s="94">
        <v>180</v>
      </c>
      <c r="E14" s="95">
        <v>188</v>
      </c>
      <c r="G14" s="131"/>
      <c r="H14" s="132"/>
      <c r="J14" s="31">
        <v>10</v>
      </c>
      <c r="K14" s="180"/>
    </row>
    <row r="15" spans="2:16" x14ac:dyDescent="0.25">
      <c r="B15" s="31">
        <v>198</v>
      </c>
      <c r="C15" s="94">
        <v>177</v>
      </c>
      <c r="E15" s="95">
        <v>200</v>
      </c>
      <c r="G15" s="131"/>
      <c r="H15" s="132"/>
      <c r="J15" s="31">
        <v>11</v>
      </c>
      <c r="K15" s="180"/>
    </row>
    <row r="16" spans="2:16" x14ac:dyDescent="0.25">
      <c r="B16" s="31">
        <v>175</v>
      </c>
      <c r="C16" s="94">
        <v>181</v>
      </c>
      <c r="E16" s="95">
        <v>181</v>
      </c>
      <c r="G16" s="131"/>
      <c r="H16" s="132"/>
      <c r="J16" s="31">
        <v>12</v>
      </c>
      <c r="K16" s="180"/>
    </row>
    <row r="17" spans="2:11" x14ac:dyDescent="0.25">
      <c r="B17" s="31">
        <v>189</v>
      </c>
      <c r="C17" s="94">
        <v>175</v>
      </c>
      <c r="E17" s="95">
        <v>195</v>
      </c>
      <c r="G17" s="131"/>
      <c r="H17" s="132"/>
      <c r="J17" s="31">
        <v>13</v>
      </c>
      <c r="K17" s="180"/>
    </row>
    <row r="18" spans="2:11" x14ac:dyDescent="0.25">
      <c r="B18" s="31">
        <v>200</v>
      </c>
      <c r="C18" s="94">
        <v>195</v>
      </c>
      <c r="E18" s="95">
        <v>186</v>
      </c>
      <c r="G18" s="131"/>
      <c r="H18" s="132"/>
      <c r="J18" s="31">
        <v>14</v>
      </c>
      <c r="K18" s="180"/>
    </row>
    <row r="19" spans="2:11" ht="15.75" thickBot="1" x14ac:dyDescent="0.3">
      <c r="B19" s="98">
        <v>170</v>
      </c>
      <c r="C19" s="99">
        <v>198</v>
      </c>
      <c r="E19" s="100">
        <v>189</v>
      </c>
      <c r="G19" s="133"/>
      <c r="H19" s="134"/>
      <c r="J19" s="31">
        <v>15</v>
      </c>
      <c r="K19" s="180"/>
    </row>
    <row r="20" spans="2:11" x14ac:dyDescent="0.25">
      <c r="B20" s="32">
        <f>AVERAGE(B5:B19)</f>
        <v>184.8</v>
      </c>
      <c r="C20" s="101">
        <f>AVERAGE(C5:C19)</f>
        <v>192.46666666666667</v>
      </c>
      <c r="E20" s="102">
        <f>AVERAGE(E5:E19)</f>
        <v>192.93333333333334</v>
      </c>
      <c r="G20" s="103" t="e">
        <f>AVERAGE(G5:G19)</f>
        <v>#DIV/0!</v>
      </c>
      <c r="H20" s="101" t="e">
        <f>AVERAGE(H5:H19)</f>
        <v>#DIV/0!</v>
      </c>
      <c r="J20" s="31">
        <v>16</v>
      </c>
      <c r="K20" s="180"/>
    </row>
    <row r="21" spans="2:11" ht="43.15" customHeight="1" thickBot="1" x14ac:dyDescent="0.3">
      <c r="C21" s="197" t="s">
        <v>88</v>
      </c>
      <c r="D21" s="197"/>
      <c r="E21" s="145">
        <f>E20-C20</f>
        <v>0.46666666666666856</v>
      </c>
      <c r="G21" s="137" t="s">
        <v>89</v>
      </c>
      <c r="H21" s="146" t="e">
        <f>H20-G20</f>
        <v>#DIV/0!</v>
      </c>
      <c r="J21" s="31">
        <v>17</v>
      </c>
      <c r="K21" s="180"/>
    </row>
    <row r="22" spans="2:11" ht="15.75" thickTop="1" x14ac:dyDescent="0.25">
      <c r="J22" s="31">
        <v>18</v>
      </c>
      <c r="K22" s="180"/>
    </row>
    <row r="23" spans="2:11" x14ac:dyDescent="0.25">
      <c r="J23" s="31">
        <v>19</v>
      </c>
      <c r="K23" s="180"/>
    </row>
    <row r="24" spans="2:11" x14ac:dyDescent="0.25">
      <c r="J24" s="31">
        <v>20</v>
      </c>
      <c r="K24" s="180"/>
    </row>
    <row r="25" spans="2:11" x14ac:dyDescent="0.25">
      <c r="J25" s="31">
        <v>21</v>
      </c>
      <c r="K25" s="180"/>
    </row>
    <row r="26" spans="2:11" x14ac:dyDescent="0.25">
      <c r="J26" s="31">
        <v>22</v>
      </c>
      <c r="K26" s="180"/>
    </row>
    <row r="27" spans="2:11" x14ac:dyDescent="0.25">
      <c r="J27" s="31">
        <v>23</v>
      </c>
      <c r="K27" s="180"/>
    </row>
    <row r="28" spans="2:11" x14ac:dyDescent="0.25">
      <c r="J28" s="31">
        <v>24</v>
      </c>
      <c r="K28" s="180"/>
    </row>
    <row r="29" spans="2:11" x14ac:dyDescent="0.25">
      <c r="J29" s="31">
        <v>25</v>
      </c>
      <c r="K29" s="180"/>
    </row>
    <row r="30" spans="2:11" x14ac:dyDescent="0.25">
      <c r="J30" s="31">
        <v>26</v>
      </c>
      <c r="K30" s="180"/>
    </row>
    <row r="31" spans="2:11" x14ac:dyDescent="0.25">
      <c r="J31" s="31">
        <v>27</v>
      </c>
      <c r="K31" s="180"/>
    </row>
    <row r="32" spans="2:11" x14ac:dyDescent="0.25">
      <c r="J32" s="31">
        <v>28</v>
      </c>
      <c r="K32" s="180"/>
    </row>
    <row r="33" spans="10:11" x14ac:dyDescent="0.25">
      <c r="J33" s="31">
        <v>29</v>
      </c>
      <c r="K33" s="180"/>
    </row>
    <row r="34" spans="10:11" x14ac:dyDescent="0.25">
      <c r="J34" s="31">
        <v>30</v>
      </c>
      <c r="K34" s="180"/>
    </row>
    <row r="35" spans="10:11" x14ac:dyDescent="0.25">
      <c r="J35" s="31">
        <v>31</v>
      </c>
      <c r="K35" s="180"/>
    </row>
    <row r="36" spans="10:11" x14ac:dyDescent="0.25">
      <c r="J36" s="31">
        <v>32</v>
      </c>
      <c r="K36" s="180"/>
    </row>
    <row r="37" spans="10:11" x14ac:dyDescent="0.25">
      <c r="J37" s="31">
        <v>33</v>
      </c>
      <c r="K37" s="180"/>
    </row>
    <row r="38" spans="10:11" x14ac:dyDescent="0.25">
      <c r="J38" s="31">
        <v>34</v>
      </c>
      <c r="K38" s="180"/>
    </row>
    <row r="39" spans="10:11" x14ac:dyDescent="0.25">
      <c r="J39" s="31">
        <v>35</v>
      </c>
      <c r="K39" s="180"/>
    </row>
    <row r="40" spans="10:11" x14ac:dyDescent="0.25">
      <c r="J40" s="31">
        <v>36</v>
      </c>
      <c r="K40" s="180"/>
    </row>
    <row r="41" spans="10:11" x14ac:dyDescent="0.25">
      <c r="J41" s="31">
        <v>37</v>
      </c>
      <c r="K41" s="180"/>
    </row>
    <row r="42" spans="10:11" x14ac:dyDescent="0.25">
      <c r="J42" s="31">
        <v>38</v>
      </c>
      <c r="K42" s="180"/>
    </row>
    <row r="43" spans="10:11" x14ac:dyDescent="0.25">
      <c r="J43" s="31">
        <v>39</v>
      </c>
      <c r="K43" s="180"/>
    </row>
    <row r="44" spans="10:11" x14ac:dyDescent="0.25">
      <c r="J44" s="31">
        <v>40</v>
      </c>
      <c r="K44" s="180"/>
    </row>
    <row r="45" spans="10:11" x14ac:dyDescent="0.25">
      <c r="J45" s="31">
        <v>41</v>
      </c>
      <c r="K45" s="180"/>
    </row>
    <row r="46" spans="10:11" x14ac:dyDescent="0.25">
      <c r="J46" s="31">
        <v>42</v>
      </c>
      <c r="K46" s="180"/>
    </row>
    <row r="47" spans="10:11" x14ac:dyDescent="0.25">
      <c r="J47" s="31">
        <v>43</v>
      </c>
      <c r="K47" s="180"/>
    </row>
    <row r="48" spans="10:11" x14ac:dyDescent="0.25">
      <c r="J48" s="31">
        <v>44</v>
      </c>
      <c r="K48" s="180"/>
    </row>
    <row r="49" spans="10:11" x14ac:dyDescent="0.25">
      <c r="J49" s="31">
        <v>45</v>
      </c>
      <c r="K49" s="180"/>
    </row>
    <row r="50" spans="10:11" x14ac:dyDescent="0.25">
      <c r="J50" s="31">
        <v>46</v>
      </c>
      <c r="K50" s="180"/>
    </row>
    <row r="51" spans="10:11" x14ac:dyDescent="0.25">
      <c r="J51" s="31">
        <v>47</v>
      </c>
      <c r="K51" s="180"/>
    </row>
    <row r="52" spans="10:11" x14ac:dyDescent="0.25">
      <c r="J52" s="31">
        <v>48</v>
      </c>
      <c r="K52" s="180"/>
    </row>
    <row r="53" spans="10:11" x14ac:dyDescent="0.25">
      <c r="J53" s="31">
        <v>49</v>
      </c>
      <c r="K53" s="180"/>
    </row>
    <row r="54" spans="10:11" x14ac:dyDescent="0.25">
      <c r="J54" s="31">
        <v>50</v>
      </c>
      <c r="K54" s="180"/>
    </row>
    <row r="55" spans="10:11" x14ac:dyDescent="0.25">
      <c r="J55" s="31">
        <v>51</v>
      </c>
      <c r="K55" s="180"/>
    </row>
    <row r="56" spans="10:11" x14ac:dyDescent="0.25">
      <c r="J56" s="31">
        <v>52</v>
      </c>
      <c r="K56" s="180"/>
    </row>
    <row r="57" spans="10:11" x14ac:dyDescent="0.25">
      <c r="J57" s="31">
        <v>53</v>
      </c>
      <c r="K57" s="180"/>
    </row>
    <row r="58" spans="10:11" x14ac:dyDescent="0.25">
      <c r="J58" s="31">
        <v>54</v>
      </c>
      <c r="K58" s="180"/>
    </row>
    <row r="59" spans="10:11" x14ac:dyDescent="0.25">
      <c r="J59" s="31">
        <v>55</v>
      </c>
      <c r="K59" s="180"/>
    </row>
    <row r="60" spans="10:11" x14ac:dyDescent="0.25">
      <c r="J60" s="31">
        <v>56</v>
      </c>
      <c r="K60" s="180"/>
    </row>
    <row r="61" spans="10:11" x14ac:dyDescent="0.25">
      <c r="J61" s="31">
        <v>57</v>
      </c>
      <c r="K61" s="180"/>
    </row>
    <row r="62" spans="10:11" x14ac:dyDescent="0.25">
      <c r="J62" s="31">
        <v>58</v>
      </c>
      <c r="K62" s="180"/>
    </row>
    <row r="63" spans="10:11" x14ac:dyDescent="0.25">
      <c r="J63" s="31">
        <v>59</v>
      </c>
      <c r="K63" s="180"/>
    </row>
    <row r="64" spans="10:11" x14ac:dyDescent="0.25">
      <c r="J64" s="31">
        <v>60</v>
      </c>
      <c r="K64" s="180"/>
    </row>
    <row r="65" spans="10:11" x14ac:dyDescent="0.25">
      <c r="J65" s="31">
        <v>61</v>
      </c>
      <c r="K65" s="180"/>
    </row>
    <row r="66" spans="10:11" x14ac:dyDescent="0.25">
      <c r="J66" s="31">
        <v>62</v>
      </c>
      <c r="K66" s="180"/>
    </row>
    <row r="67" spans="10:11" x14ac:dyDescent="0.25">
      <c r="J67" s="31">
        <v>63</v>
      </c>
      <c r="K67" s="180"/>
    </row>
    <row r="68" spans="10:11" x14ac:dyDescent="0.25">
      <c r="J68" s="31">
        <v>64</v>
      </c>
      <c r="K68" s="180"/>
    </row>
    <row r="69" spans="10:11" x14ac:dyDescent="0.25">
      <c r="J69" s="31">
        <v>65</v>
      </c>
      <c r="K69" s="180"/>
    </row>
    <row r="70" spans="10:11" x14ac:dyDescent="0.25">
      <c r="J70" s="31">
        <v>66</v>
      </c>
      <c r="K70" s="180"/>
    </row>
    <row r="71" spans="10:11" x14ac:dyDescent="0.25">
      <c r="J71" s="31">
        <v>67</v>
      </c>
      <c r="K71" s="180"/>
    </row>
    <row r="72" spans="10:11" x14ac:dyDescent="0.25">
      <c r="J72" s="31">
        <v>68</v>
      </c>
      <c r="K72" s="180"/>
    </row>
    <row r="73" spans="10:11" x14ac:dyDescent="0.25">
      <c r="J73" s="31">
        <v>69</v>
      </c>
      <c r="K73" s="180"/>
    </row>
    <row r="74" spans="10:11" x14ac:dyDescent="0.25">
      <c r="J74" s="31">
        <v>70</v>
      </c>
      <c r="K74" s="180"/>
    </row>
    <row r="75" spans="10:11" x14ac:dyDescent="0.25">
      <c r="J75" s="31">
        <v>71</v>
      </c>
      <c r="K75" s="180"/>
    </row>
    <row r="76" spans="10:11" x14ac:dyDescent="0.25">
      <c r="J76" s="31">
        <v>72</v>
      </c>
      <c r="K76" s="180"/>
    </row>
    <row r="77" spans="10:11" x14ac:dyDescent="0.25">
      <c r="J77" s="31">
        <v>73</v>
      </c>
      <c r="K77" s="180"/>
    </row>
    <row r="78" spans="10:11" x14ac:dyDescent="0.25">
      <c r="J78" s="31">
        <v>74</v>
      </c>
      <c r="K78" s="180"/>
    </row>
    <row r="79" spans="10:11" x14ac:dyDescent="0.25">
      <c r="J79" s="31">
        <v>75</v>
      </c>
      <c r="K79" s="180"/>
    </row>
    <row r="80" spans="10:11" x14ac:dyDescent="0.25">
      <c r="J80" s="31">
        <v>76</v>
      </c>
      <c r="K80" s="180"/>
    </row>
    <row r="81" spans="10:11" x14ac:dyDescent="0.25">
      <c r="J81" s="31">
        <v>77</v>
      </c>
      <c r="K81" s="180"/>
    </row>
    <row r="82" spans="10:11" x14ac:dyDescent="0.25">
      <c r="J82" s="31">
        <v>78</v>
      </c>
      <c r="K82" s="180"/>
    </row>
    <row r="83" spans="10:11" x14ac:dyDescent="0.25">
      <c r="J83" s="31">
        <v>79</v>
      </c>
      <c r="K83" s="180"/>
    </row>
    <row r="84" spans="10:11" x14ac:dyDescent="0.25">
      <c r="J84" s="31">
        <v>80</v>
      </c>
      <c r="K84" s="180"/>
    </row>
    <row r="85" spans="10:11" x14ac:dyDescent="0.25">
      <c r="J85" s="31">
        <v>81</v>
      </c>
      <c r="K85" s="180"/>
    </row>
    <row r="86" spans="10:11" x14ac:dyDescent="0.25">
      <c r="J86" s="31">
        <v>82</v>
      </c>
      <c r="K86" s="180"/>
    </row>
    <row r="87" spans="10:11" x14ac:dyDescent="0.25">
      <c r="J87" s="31">
        <v>83</v>
      </c>
      <c r="K87" s="180"/>
    </row>
    <row r="88" spans="10:11" x14ac:dyDescent="0.25">
      <c r="J88" s="31">
        <v>84</v>
      </c>
      <c r="K88" s="180"/>
    </row>
    <row r="89" spans="10:11" x14ac:dyDescent="0.25">
      <c r="J89" s="31">
        <v>85</v>
      </c>
      <c r="K89" s="180"/>
    </row>
    <row r="90" spans="10:11" x14ac:dyDescent="0.25">
      <c r="J90" s="31">
        <v>86</v>
      </c>
      <c r="K90" s="180"/>
    </row>
    <row r="91" spans="10:11" x14ac:dyDescent="0.25">
      <c r="J91" s="31">
        <v>87</v>
      </c>
      <c r="K91" s="180"/>
    </row>
    <row r="92" spans="10:11" x14ac:dyDescent="0.25">
      <c r="J92" s="31">
        <v>88</v>
      </c>
      <c r="K92" s="180"/>
    </row>
    <row r="93" spans="10:11" x14ac:dyDescent="0.25">
      <c r="J93" s="31">
        <v>89</v>
      </c>
      <c r="K93" s="180"/>
    </row>
    <row r="94" spans="10:11" x14ac:dyDescent="0.25">
      <c r="J94" s="31">
        <v>90</v>
      </c>
      <c r="K94" s="180"/>
    </row>
    <row r="95" spans="10:11" x14ac:dyDescent="0.25">
      <c r="J95" s="31">
        <v>91</v>
      </c>
      <c r="K95" s="180"/>
    </row>
    <row r="96" spans="10:11" x14ac:dyDescent="0.25">
      <c r="J96" s="31">
        <v>92</v>
      </c>
      <c r="K96" s="180"/>
    </row>
    <row r="97" spans="10:11" x14ac:dyDescent="0.25">
      <c r="J97" s="31">
        <v>93</v>
      </c>
      <c r="K97" s="180"/>
    </row>
    <row r="98" spans="10:11" x14ac:dyDescent="0.25">
      <c r="J98" s="31">
        <v>94</v>
      </c>
      <c r="K98" s="180"/>
    </row>
    <row r="99" spans="10:11" x14ac:dyDescent="0.25">
      <c r="J99" s="31">
        <v>95</v>
      </c>
      <c r="K99" s="180"/>
    </row>
    <row r="100" spans="10:11" x14ac:dyDescent="0.25">
      <c r="J100" s="31">
        <v>96</v>
      </c>
      <c r="K100" s="180"/>
    </row>
    <row r="101" spans="10:11" x14ac:dyDescent="0.25">
      <c r="J101" s="31">
        <v>97</v>
      </c>
      <c r="K101" s="180"/>
    </row>
    <row r="102" spans="10:11" x14ac:dyDescent="0.25">
      <c r="J102" s="31">
        <v>98</v>
      </c>
      <c r="K102" s="180"/>
    </row>
    <row r="103" spans="10:11" x14ac:dyDescent="0.25">
      <c r="J103" s="31">
        <v>99</v>
      </c>
      <c r="K103" s="180"/>
    </row>
    <row r="104" spans="10:11" x14ac:dyDescent="0.25">
      <c r="J104" s="32">
        <v>100</v>
      </c>
      <c r="K104" s="181"/>
    </row>
  </sheetData>
  <mergeCells count="1">
    <mergeCell ref="C21:D21"/>
  </mergeCells>
  <pageMargins left="0.7" right="0.7" top="0.78740157499999996" bottom="0.78740157499999996" header="0.3" footer="0.3"/>
  <pageSetup paperSize="9" orientation="portrait" r:id="rId1"/>
  <ignoredErrors>
    <ignoredError sqref="H21 G20:H20" evalError="1"/>
  </ignoredErrors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482D5-B3B9-4D88-973C-144EA88AA9A0}">
  <sheetPr>
    <tabColor theme="7" tint="0.79998168889431442"/>
  </sheetPr>
  <dimension ref="A1:L56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RowHeight="15" x14ac:dyDescent="0.25"/>
  <cols>
    <col min="1" max="1" width="3.7109375" style="144" customWidth="1"/>
  </cols>
  <sheetData>
    <row r="1" spans="2:12" s="144" customFormat="1" x14ac:dyDescent="0.25"/>
    <row r="2" spans="2:12" ht="23.25" x14ac:dyDescent="0.35">
      <c r="B2" s="6" t="s">
        <v>134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spans="2:12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2:12" x14ac:dyDescent="0.25">
      <c r="B4" s="3" t="s">
        <v>92</v>
      </c>
      <c r="C4" s="3"/>
      <c r="D4" s="3"/>
      <c r="E4" s="3"/>
      <c r="F4" s="21"/>
      <c r="G4" s="3"/>
      <c r="H4" s="3"/>
      <c r="I4" s="3"/>
      <c r="J4" s="3"/>
      <c r="K4" s="3"/>
      <c r="L4" s="3"/>
    </row>
    <row r="5" spans="2:12" x14ac:dyDescent="0.25">
      <c r="B5" s="3"/>
      <c r="C5" s="3"/>
      <c r="D5" s="3"/>
      <c r="E5" s="3"/>
      <c r="F5" s="21"/>
      <c r="G5" s="3"/>
      <c r="H5" s="3"/>
      <c r="I5" s="3"/>
      <c r="J5" s="3"/>
      <c r="K5" s="3"/>
      <c r="L5" s="3"/>
    </row>
    <row r="6" spans="2:12" x14ac:dyDescent="0.25">
      <c r="B6" s="3" t="s">
        <v>93</v>
      </c>
      <c r="C6" s="3"/>
      <c r="D6" s="3"/>
      <c r="E6" s="3"/>
      <c r="F6" s="21">
        <v>13</v>
      </c>
      <c r="G6" s="3"/>
      <c r="H6" s="3"/>
      <c r="I6" s="3"/>
      <c r="J6" s="3"/>
      <c r="K6" s="3"/>
      <c r="L6" s="3"/>
    </row>
    <row r="7" spans="2:12" x14ac:dyDescent="0.25">
      <c r="B7" s="3" t="s">
        <v>94</v>
      </c>
      <c r="C7" s="3"/>
      <c r="D7" s="3"/>
      <c r="E7" s="3"/>
      <c r="F7" s="106">
        <v>0.01</v>
      </c>
      <c r="G7" s="3"/>
      <c r="H7" s="3"/>
      <c r="I7" s="3"/>
      <c r="J7" s="3"/>
      <c r="K7" s="3"/>
      <c r="L7" s="3"/>
    </row>
    <row r="8" spans="2:12" x14ac:dyDescent="0.25">
      <c r="B8" s="107"/>
      <c r="C8" s="107"/>
      <c r="D8" s="107"/>
      <c r="E8" s="3"/>
      <c r="F8" s="106"/>
      <c r="G8" s="3"/>
      <c r="H8" s="3"/>
      <c r="I8" s="3"/>
      <c r="J8" s="3"/>
      <c r="K8" s="3"/>
      <c r="L8" s="3"/>
    </row>
    <row r="9" spans="2:12" x14ac:dyDescent="0.25">
      <c r="B9" s="107"/>
      <c r="C9" s="107"/>
      <c r="D9" s="107"/>
      <c r="E9" s="5"/>
      <c r="F9" s="21"/>
      <c r="G9" s="3"/>
      <c r="H9" s="3"/>
      <c r="I9" s="3"/>
      <c r="J9" s="3"/>
      <c r="K9" s="3"/>
      <c r="L9" s="3"/>
    </row>
    <row r="10" spans="2:12" x14ac:dyDescent="0.25">
      <c r="B10" s="20" t="s">
        <v>95</v>
      </c>
      <c r="C10" s="20" t="s">
        <v>96</v>
      </c>
      <c r="D10" s="107"/>
      <c r="E10" s="21"/>
      <c r="F10" s="21"/>
      <c r="G10" s="3"/>
      <c r="H10" s="3"/>
      <c r="I10" s="3"/>
      <c r="J10" s="3"/>
      <c r="K10" s="3"/>
      <c r="L10" s="3"/>
    </row>
    <row r="11" spans="2:12" x14ac:dyDescent="0.25">
      <c r="B11" s="20" t="s">
        <v>97</v>
      </c>
      <c r="C11" s="20" t="s">
        <v>17</v>
      </c>
      <c r="D11" s="107"/>
      <c r="E11" s="21"/>
      <c r="F11" s="21"/>
      <c r="G11" s="3"/>
      <c r="H11" s="3"/>
      <c r="I11" s="3"/>
      <c r="J11" s="3"/>
      <c r="K11" s="3"/>
      <c r="L11" s="3"/>
    </row>
    <row r="12" spans="2:12" x14ac:dyDescent="0.25">
      <c r="B12" s="21">
        <v>1</v>
      </c>
      <c r="C12" s="21">
        <v>210</v>
      </c>
      <c r="D12" s="107"/>
      <c r="E12" s="21"/>
      <c r="F12" s="21"/>
      <c r="G12" s="3"/>
      <c r="H12" s="3"/>
      <c r="I12" s="3"/>
      <c r="J12" s="3"/>
      <c r="K12" s="3"/>
      <c r="L12" s="3"/>
    </row>
    <row r="13" spans="2:12" x14ac:dyDescent="0.25">
      <c r="B13" s="21">
        <v>2</v>
      </c>
      <c r="C13" s="21">
        <v>240</v>
      </c>
      <c r="D13" s="107"/>
      <c r="E13" s="21"/>
      <c r="F13" s="21"/>
      <c r="G13" s="3"/>
      <c r="H13" s="3"/>
      <c r="I13" s="3"/>
      <c r="J13" s="3"/>
      <c r="K13" s="3"/>
      <c r="L13" s="3"/>
    </row>
    <row r="14" spans="2:12" x14ac:dyDescent="0.25">
      <c r="B14" s="21">
        <v>3</v>
      </c>
      <c r="C14" s="21">
        <v>110</v>
      </c>
      <c r="D14" s="107"/>
      <c r="E14" s="21"/>
      <c r="F14" s="21"/>
      <c r="G14" s="3"/>
      <c r="H14" s="3"/>
      <c r="I14" s="3"/>
      <c r="J14" s="3"/>
      <c r="K14" s="3"/>
      <c r="L14" s="3"/>
    </row>
    <row r="15" spans="2:12" x14ac:dyDescent="0.25">
      <c r="B15" s="21">
        <v>4</v>
      </c>
      <c r="C15" s="21">
        <v>280</v>
      </c>
      <c r="D15" s="107"/>
      <c r="E15" s="21"/>
      <c r="F15" s="21"/>
      <c r="G15" s="3"/>
      <c r="H15" s="3"/>
      <c r="I15" s="3"/>
      <c r="J15" s="3"/>
      <c r="K15" s="3"/>
      <c r="L15" s="3"/>
    </row>
    <row r="16" spans="2:12" x14ac:dyDescent="0.25">
      <c r="B16" s="21">
        <v>5</v>
      </c>
      <c r="C16" s="21">
        <v>200</v>
      </c>
      <c r="D16" s="107"/>
      <c r="E16" s="21"/>
      <c r="F16" s="21"/>
      <c r="G16" s="3"/>
      <c r="H16" s="3"/>
      <c r="I16" s="3"/>
      <c r="J16" s="3"/>
      <c r="K16" s="3"/>
      <c r="L16" s="3"/>
    </row>
    <row r="17" spans="2:12" x14ac:dyDescent="0.25">
      <c r="B17" s="21">
        <v>6</v>
      </c>
      <c r="C17" s="21">
        <v>140</v>
      </c>
      <c r="D17" s="107"/>
      <c r="E17" s="21"/>
      <c r="F17" s="21"/>
      <c r="G17" s="3"/>
      <c r="H17" s="3"/>
      <c r="I17" s="3"/>
      <c r="J17" s="3"/>
      <c r="K17" s="3"/>
      <c r="L17" s="3"/>
    </row>
    <row r="18" spans="2:12" x14ac:dyDescent="0.25">
      <c r="B18" s="21">
        <v>7</v>
      </c>
      <c r="C18" s="21">
        <v>130</v>
      </c>
      <c r="D18" s="107"/>
      <c r="E18" s="21"/>
      <c r="F18" s="21"/>
      <c r="G18" s="3"/>
      <c r="H18" s="3"/>
      <c r="I18" s="3"/>
      <c r="J18" s="3"/>
      <c r="K18" s="3"/>
      <c r="L18" s="3"/>
    </row>
    <row r="19" spans="2:12" x14ac:dyDescent="0.25">
      <c r="B19" s="21">
        <v>8</v>
      </c>
      <c r="C19" s="21">
        <v>220</v>
      </c>
      <c r="D19" s="107"/>
      <c r="E19" s="21"/>
      <c r="F19" s="21"/>
      <c r="G19" s="3"/>
      <c r="H19" s="3"/>
      <c r="I19" s="3"/>
      <c r="J19" s="3"/>
      <c r="K19" s="3"/>
      <c r="L19" s="3"/>
    </row>
    <row r="20" spans="2:12" x14ac:dyDescent="0.25">
      <c r="B20" s="21">
        <v>9</v>
      </c>
      <c r="C20" s="21">
        <v>100</v>
      </c>
      <c r="D20" s="107"/>
      <c r="E20" s="21"/>
      <c r="F20" s="21"/>
      <c r="G20" s="3"/>
      <c r="H20" s="3"/>
      <c r="I20" s="3"/>
      <c r="J20" s="3"/>
      <c r="K20" s="3"/>
      <c r="L20" s="3"/>
    </row>
    <row r="21" spans="2:12" x14ac:dyDescent="0.25">
      <c r="B21" s="21">
        <v>10</v>
      </c>
      <c r="C21" s="21">
        <v>250</v>
      </c>
      <c r="D21" s="107"/>
      <c r="E21" s="21"/>
      <c r="F21" s="21"/>
      <c r="G21" s="3"/>
      <c r="H21" s="3"/>
      <c r="I21" s="3"/>
      <c r="J21" s="3"/>
      <c r="K21" s="3"/>
      <c r="L21" s="3"/>
    </row>
    <row r="22" spans="2:12" x14ac:dyDescent="0.25">
      <c r="B22" s="21">
        <v>11</v>
      </c>
      <c r="C22" s="21">
        <v>190</v>
      </c>
      <c r="D22" s="107"/>
      <c r="E22" s="21"/>
      <c r="F22" s="21"/>
      <c r="G22" s="3"/>
      <c r="H22" s="3"/>
      <c r="I22" s="3"/>
      <c r="J22" s="3"/>
      <c r="K22" s="3"/>
      <c r="L22" s="3"/>
    </row>
    <row r="23" spans="2:12" x14ac:dyDescent="0.25">
      <c r="B23" s="21">
        <v>12</v>
      </c>
      <c r="C23" s="21">
        <v>260</v>
      </c>
      <c r="D23" s="107"/>
      <c r="E23" s="21"/>
      <c r="F23" s="21"/>
      <c r="G23" s="3"/>
      <c r="H23" s="3"/>
      <c r="I23" s="3"/>
      <c r="J23" s="3"/>
      <c r="K23" s="3"/>
      <c r="L23" s="3"/>
    </row>
    <row r="24" spans="2:12" x14ac:dyDescent="0.25">
      <c r="B24" s="21">
        <v>13</v>
      </c>
      <c r="C24" s="21">
        <v>170</v>
      </c>
      <c r="D24" s="107"/>
      <c r="E24" s="21"/>
      <c r="F24" s="21"/>
      <c r="G24" s="3"/>
      <c r="H24" s="3"/>
      <c r="I24" s="3"/>
      <c r="J24" s="3"/>
      <c r="K24" s="3"/>
      <c r="L24" s="3"/>
    </row>
    <row r="25" spans="2:12" x14ac:dyDescent="0.25">
      <c r="B25" s="21"/>
      <c r="C25" s="21"/>
      <c r="D25" s="107"/>
      <c r="E25" s="21"/>
      <c r="F25" s="21"/>
      <c r="G25" s="3"/>
      <c r="H25" s="3"/>
      <c r="I25" s="3"/>
      <c r="J25" s="3"/>
      <c r="K25" s="3"/>
      <c r="L25" s="3"/>
    </row>
    <row r="26" spans="2:12" x14ac:dyDescent="0.25">
      <c r="B26" s="21"/>
      <c r="C26" s="21"/>
      <c r="D26" s="107"/>
      <c r="E26" s="21"/>
      <c r="F26" s="21"/>
      <c r="G26" s="3"/>
      <c r="H26" s="3"/>
      <c r="I26" s="3"/>
      <c r="J26" s="3"/>
      <c r="K26" s="3"/>
      <c r="L26" s="3"/>
    </row>
    <row r="27" spans="2:12" x14ac:dyDescent="0.25">
      <c r="B27" s="21"/>
      <c r="C27" s="21"/>
      <c r="D27" s="107"/>
      <c r="E27" s="21"/>
      <c r="F27" s="21"/>
      <c r="G27" s="3"/>
      <c r="H27" s="3"/>
      <c r="I27" s="3"/>
      <c r="J27" s="3"/>
      <c r="K27" s="3"/>
      <c r="L27" s="3"/>
    </row>
    <row r="28" spans="2:12" x14ac:dyDescent="0.25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2:12" x14ac:dyDescent="0.25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2:12" x14ac:dyDescent="0.2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2:12" x14ac:dyDescent="0.25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2:12" x14ac:dyDescent="0.25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 x14ac:dyDescent="0.2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 x14ac:dyDescent="0.25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 x14ac:dyDescent="0.2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 x14ac:dyDescent="0.25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 x14ac:dyDescent="0.25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 x14ac:dyDescent="0.25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 x14ac:dyDescent="0.25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5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5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 x14ac:dyDescent="0.2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x14ac:dyDescent="0.2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 x14ac:dyDescent="0.2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2:12" x14ac:dyDescent="0.2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2:12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2:12" x14ac:dyDescent="0.2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2:12" x14ac:dyDescent="0.2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2:12" x14ac:dyDescent="0.25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2:12" x14ac:dyDescent="0.25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2:12" x14ac:dyDescent="0.25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2:12" x14ac:dyDescent="0.25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2:12" x14ac:dyDescent="0.25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2:12" x14ac:dyDescent="0.25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2:12" x14ac:dyDescent="0.25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2:12" x14ac:dyDescent="0.25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pageMargins left="0.7" right="0.7" top="0.78740157499999996" bottom="0.78740157499999996" header="0.3" footer="0.3"/>
  <picture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5943-0BDE-476B-AF9C-25845004AF9F}">
  <sheetPr>
    <tabColor theme="7" tint="0.79998168889431442"/>
  </sheetPr>
  <dimension ref="A1:H32"/>
  <sheetViews>
    <sheetView workbookViewId="0">
      <pane xSplit="1" ySplit="1" topLeftCell="B2" activePane="bottomRight" state="frozen"/>
      <selection activeCell="H22" sqref="H22"/>
      <selection pane="topRight" activeCell="H22" sqref="H22"/>
      <selection pane="bottomLeft" activeCell="H22" sqref="H22"/>
      <selection pane="bottomRight"/>
    </sheetView>
  </sheetViews>
  <sheetFormatPr baseColWidth="10" defaultColWidth="10.7109375" defaultRowHeight="15" x14ac:dyDescent="0.25"/>
  <cols>
    <col min="1" max="1" width="3.7109375" style="144" customWidth="1"/>
    <col min="2" max="3" width="10.7109375" style="3"/>
    <col min="4" max="4" width="12.7109375" style="3" customWidth="1"/>
    <col min="5" max="5" width="15.42578125" style="3" customWidth="1"/>
    <col min="6" max="6" width="10.7109375" style="3"/>
    <col min="7" max="7" width="10.7109375" style="3" bestFit="1" customWidth="1"/>
    <col min="8" max="8" width="11.140625" style="3" bestFit="1" customWidth="1"/>
    <col min="9" max="9" width="16.85546875" style="3" customWidth="1"/>
    <col min="10" max="10" width="13.140625" style="3" customWidth="1"/>
    <col min="11" max="11" width="16.28515625" style="3" customWidth="1"/>
    <col min="12" max="12" width="15.28515625" style="3" customWidth="1"/>
    <col min="13" max="16384" width="10.7109375" style="3"/>
  </cols>
  <sheetData>
    <row r="1" spans="2:6" s="144" customFormat="1" x14ac:dyDescent="0.25"/>
    <row r="2" spans="2:6" ht="23.25" x14ac:dyDescent="0.35">
      <c r="B2" s="6" t="s">
        <v>128</v>
      </c>
    </row>
    <row r="4" spans="2:6" x14ac:dyDescent="0.25">
      <c r="B4" s="3" t="s">
        <v>100</v>
      </c>
      <c r="E4" s="5"/>
      <c r="F4" s="21"/>
    </row>
    <row r="5" spans="2:6" x14ac:dyDescent="0.25">
      <c r="E5" s="5"/>
      <c r="F5" s="21"/>
    </row>
    <row r="6" spans="2:6" x14ac:dyDescent="0.25">
      <c r="B6" s="3" t="s">
        <v>93</v>
      </c>
      <c r="E6" s="5"/>
      <c r="F6" s="21">
        <v>11</v>
      </c>
    </row>
    <row r="7" spans="2:6" x14ac:dyDescent="0.25">
      <c r="B7" s="3" t="s">
        <v>94</v>
      </c>
      <c r="E7" s="5"/>
      <c r="F7" s="106">
        <v>0.01</v>
      </c>
    </row>
    <row r="10" spans="2:6" ht="75" x14ac:dyDescent="0.25">
      <c r="B10" s="108" t="s">
        <v>95</v>
      </c>
      <c r="C10" s="108" t="s">
        <v>96</v>
      </c>
      <c r="D10" s="109" t="s">
        <v>98</v>
      </c>
      <c r="E10" s="109" t="s">
        <v>99</v>
      </c>
      <c r="F10" s="21"/>
    </row>
    <row r="11" spans="2:6" x14ac:dyDescent="0.25">
      <c r="B11" s="108" t="s">
        <v>97</v>
      </c>
      <c r="C11" s="108" t="s">
        <v>101</v>
      </c>
      <c r="D11" s="109"/>
      <c r="E11" s="20"/>
      <c r="F11" s="21"/>
    </row>
    <row r="12" spans="2:6" x14ac:dyDescent="0.25">
      <c r="B12" s="21">
        <v>1</v>
      </c>
      <c r="C12" s="21">
        <v>140</v>
      </c>
      <c r="D12" s="110">
        <v>6</v>
      </c>
      <c r="E12" s="111">
        <v>600</v>
      </c>
      <c r="F12" s="21"/>
    </row>
    <row r="13" spans="2:6" x14ac:dyDescent="0.25">
      <c r="B13" s="21">
        <v>2</v>
      </c>
      <c r="C13" s="21">
        <v>70</v>
      </c>
      <c r="D13" s="110">
        <v>10</v>
      </c>
      <c r="E13" s="111">
        <v>1000</v>
      </c>
      <c r="F13" s="21"/>
    </row>
    <row r="14" spans="2:6" x14ac:dyDescent="0.25">
      <c r="B14" s="21">
        <v>3</v>
      </c>
      <c r="C14" s="21">
        <v>170</v>
      </c>
      <c r="D14" s="110">
        <v>4</v>
      </c>
      <c r="E14" s="111">
        <v>400</v>
      </c>
      <c r="F14" s="21"/>
    </row>
    <row r="15" spans="2:6" x14ac:dyDescent="0.25">
      <c r="B15" s="21">
        <v>4</v>
      </c>
      <c r="C15" s="21">
        <v>210</v>
      </c>
      <c r="D15" s="110">
        <v>1</v>
      </c>
      <c r="E15" s="111">
        <v>100</v>
      </c>
      <c r="F15" s="21"/>
    </row>
    <row r="16" spans="2:6" x14ac:dyDescent="0.25">
      <c r="B16" s="21">
        <v>5</v>
      </c>
      <c r="C16" s="21">
        <v>100</v>
      </c>
      <c r="D16" s="110">
        <v>8</v>
      </c>
      <c r="E16" s="111">
        <v>800</v>
      </c>
      <c r="F16" s="21"/>
    </row>
    <row r="17" spans="2:8" x14ac:dyDescent="0.25">
      <c r="B17" s="21">
        <v>6</v>
      </c>
      <c r="C17" s="21">
        <v>180</v>
      </c>
      <c r="D17" s="110">
        <v>3</v>
      </c>
      <c r="E17" s="111">
        <v>300</v>
      </c>
      <c r="F17" s="21"/>
    </row>
    <row r="18" spans="2:8" x14ac:dyDescent="0.25">
      <c r="B18" s="21">
        <v>7</v>
      </c>
      <c r="C18" s="21">
        <v>120</v>
      </c>
      <c r="D18" s="110">
        <v>7</v>
      </c>
      <c r="E18" s="111">
        <v>700</v>
      </c>
      <c r="F18" s="21"/>
    </row>
    <row r="19" spans="2:8" x14ac:dyDescent="0.25">
      <c r="B19" s="21">
        <v>8</v>
      </c>
      <c r="C19" s="21">
        <v>200</v>
      </c>
      <c r="D19" s="110">
        <v>2</v>
      </c>
      <c r="E19" s="111">
        <v>200</v>
      </c>
      <c r="F19" s="21"/>
    </row>
    <row r="20" spans="2:8" x14ac:dyDescent="0.25">
      <c r="B20" s="21">
        <v>9</v>
      </c>
      <c r="C20" s="21">
        <v>150</v>
      </c>
      <c r="D20" s="110">
        <v>5</v>
      </c>
      <c r="E20" s="111">
        <v>500</v>
      </c>
      <c r="F20" s="21"/>
    </row>
    <row r="21" spans="2:8" x14ac:dyDescent="0.25">
      <c r="B21" s="21">
        <v>10</v>
      </c>
      <c r="C21" s="21">
        <v>50</v>
      </c>
      <c r="D21" s="110">
        <v>11</v>
      </c>
      <c r="E21" s="111">
        <v>1100</v>
      </c>
      <c r="F21" s="21"/>
    </row>
    <row r="22" spans="2:8" x14ac:dyDescent="0.25">
      <c r="B22" s="21">
        <v>11</v>
      </c>
      <c r="C22" s="21">
        <v>90</v>
      </c>
      <c r="D22" s="110">
        <v>9</v>
      </c>
      <c r="E22" s="111">
        <v>900</v>
      </c>
      <c r="F22" s="21"/>
    </row>
    <row r="23" spans="2:8" x14ac:dyDescent="0.25">
      <c r="B23" s="21"/>
      <c r="C23" s="21"/>
      <c r="D23" s="110"/>
      <c r="E23" s="111"/>
      <c r="F23" s="21"/>
    </row>
    <row r="24" spans="2:8" x14ac:dyDescent="0.25">
      <c r="B24" s="21"/>
      <c r="C24" s="21"/>
      <c r="D24" s="110"/>
      <c r="E24" s="111"/>
      <c r="F24" s="21"/>
    </row>
    <row r="25" spans="2:8" x14ac:dyDescent="0.25">
      <c r="B25" s="21"/>
      <c r="C25" s="21"/>
      <c r="D25" s="110"/>
      <c r="E25" s="111"/>
      <c r="F25" s="21"/>
      <c r="G25" s="5" t="s">
        <v>6</v>
      </c>
      <c r="H25" s="5">
        <v>1437.6</v>
      </c>
    </row>
    <row r="26" spans="2:8" x14ac:dyDescent="0.25">
      <c r="B26" s="21"/>
      <c r="C26" s="21"/>
      <c r="D26" s="110"/>
      <c r="E26" s="111"/>
      <c r="F26" s="21"/>
      <c r="G26" s="5" t="s">
        <v>7</v>
      </c>
      <c r="H26" s="5">
        <v>-6.2251000000000003</v>
      </c>
    </row>
    <row r="27" spans="2:8" x14ac:dyDescent="0.25">
      <c r="B27" s="21"/>
      <c r="C27" s="21"/>
      <c r="D27" s="110"/>
      <c r="E27" s="111"/>
      <c r="F27" s="21"/>
    </row>
    <row r="28" spans="2:8" x14ac:dyDescent="0.25">
      <c r="B28" s="21"/>
      <c r="C28" s="21"/>
      <c r="D28" s="110"/>
      <c r="E28" s="111"/>
      <c r="F28" s="21"/>
    </row>
    <row r="29" spans="2:8" x14ac:dyDescent="0.25">
      <c r="B29" s="21"/>
      <c r="C29" s="21"/>
      <c r="D29" s="110"/>
      <c r="E29" s="111"/>
      <c r="F29" s="21"/>
    </row>
    <row r="30" spans="2:8" x14ac:dyDescent="0.25">
      <c r="B30" s="21"/>
      <c r="C30" s="21"/>
      <c r="D30" s="110"/>
      <c r="E30" s="111"/>
      <c r="F30" s="21"/>
    </row>
    <row r="31" spans="2:8" x14ac:dyDescent="0.25">
      <c r="B31" s="21"/>
      <c r="C31" s="21"/>
      <c r="D31" s="110"/>
      <c r="E31" s="111"/>
      <c r="F31" s="21"/>
    </row>
    <row r="32" spans="2:8" x14ac:dyDescent="0.25">
      <c r="B32" s="21"/>
      <c r="C32" s="21"/>
      <c r="D32" s="107"/>
      <c r="E32" s="21"/>
      <c r="F32" s="21"/>
    </row>
  </sheetData>
  <pageMargins left="0.7" right="0.7" top="0.78740157499999996" bottom="0.78740157499999996" header="0.3" footer="0.3"/>
  <pageSetup paperSize="9" orientation="portrait" r:id="rId1"/>
  <drawing r:id="rId2"/>
  <picture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17C7503C1034F49B64E59FA0FC8A06A" ma:contentTypeVersion="3" ma:contentTypeDescription="Ein neues Dokument erstellen." ma:contentTypeScope="" ma:versionID="46eff5804391ec6e1b9af5abda97e01d">
  <xsd:schema xmlns:xsd="http://www.w3.org/2001/XMLSchema" xmlns:xs="http://www.w3.org/2001/XMLSchema" xmlns:p="http://schemas.microsoft.com/office/2006/metadata/properties" xmlns:ns2="c5a44a05-2a8b-4f6a-a4ec-83c93303bc0b" targetNamespace="http://schemas.microsoft.com/office/2006/metadata/properties" ma:root="true" ma:fieldsID="9a628d4d8561ed5c53770958f77e605f" ns2:_="">
    <xsd:import namespace="c5a44a05-2a8b-4f6a-a4ec-83c93303bc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a44a05-2a8b-4f6a-a4ec-83c93303bc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19272E-7831-4795-81C2-4DD5DDD832AB}"/>
</file>

<file path=customXml/itemProps2.xml><?xml version="1.0" encoding="utf-8"?>
<ds:datastoreItem xmlns:ds="http://schemas.openxmlformats.org/officeDocument/2006/customXml" ds:itemID="{9EB07A8D-D26F-449A-A777-FF501356483A}"/>
</file>

<file path=customXml/itemProps3.xml><?xml version="1.0" encoding="utf-8"?>
<ds:datastoreItem xmlns:ds="http://schemas.openxmlformats.org/officeDocument/2006/customXml" ds:itemID="{D2CE6FE4-B28C-4D4F-B34D-A674724821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6</vt:i4>
      </vt:variant>
    </vt:vector>
  </HeadingPairs>
  <TitlesOfParts>
    <vt:vector size="19" baseType="lpstr">
      <vt:lpstr>Deckblatt</vt:lpstr>
      <vt:lpstr>1a</vt:lpstr>
      <vt:lpstr>2</vt:lpstr>
      <vt:lpstr>3</vt:lpstr>
      <vt:lpstr>4a</vt:lpstr>
      <vt:lpstr>4b</vt:lpstr>
      <vt:lpstr>5</vt:lpstr>
      <vt:lpstr>6</vt:lpstr>
      <vt:lpstr>7</vt:lpstr>
      <vt:lpstr>8</vt:lpstr>
      <vt:lpstr>9b</vt:lpstr>
      <vt:lpstr>10</vt:lpstr>
      <vt:lpstr>11</vt:lpstr>
      <vt:lpstr>'5'!AnzahlBestellungen</vt:lpstr>
      <vt:lpstr>'5'!Arbeitswochen</vt:lpstr>
      <vt:lpstr>'5'!Lagerkosten</vt:lpstr>
      <vt:lpstr>'5'!Lieferzeit</vt:lpstr>
      <vt:lpstr>'5'!Produktpreis</vt:lpstr>
      <vt:lpstr>'5'!Unterlagerkosten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Florian Wirth</dc:creator>
  <cp:lastModifiedBy>Florian Wirth</cp:lastModifiedBy>
  <dcterms:created xsi:type="dcterms:W3CDTF">2020-02-25T15:33:07Z</dcterms:created>
  <dcterms:modified xsi:type="dcterms:W3CDTF">2020-06-02T14:09:51Z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0x010100717C7503C1034F49B64E59FA0FC8A06A</vt:lpwstr>
  </property>
  <property fmtid="{D5CDD505-2E9C-101B-9397-08002B2CF9AE}" pid="3" name="Order">
    <vt:r8>12100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